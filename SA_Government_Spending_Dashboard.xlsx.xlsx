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defaultThemeVersion="124226"/>
  <xr:revisionPtr revIDLastSave="0" documentId="13_ncr:1_{4F2DEF57-26F4-4CA8-A2E7-A6A4A9301EAE}" xr6:coauthVersionLast="47" xr6:coauthVersionMax="47" xr10:uidLastSave="{00000000-0000-0000-0000-000000000000}"/>
  <bookViews>
    <workbookView xWindow="-110" yWindow="-110" windowWidth="19420" windowHeight="10300" firstSheet="4" activeTab="5" xr2:uid="{00000000-000D-0000-FFFF-FFFF00000000}"/>
  </bookViews>
  <sheets>
    <sheet name="2015-16" sheetId="6" state="hidden" r:id="rId1"/>
    <sheet name="2014-15" sheetId="1" state="hidden" r:id="rId2"/>
    <sheet name="2013-14" sheetId="4" state="hidden" r:id="rId3"/>
    <sheet name="2012-13" sheetId="5" state="hidden" r:id="rId4"/>
    <sheet name="COMBINED_DATA" sheetId="10" r:id="rId5"/>
    <sheet name="DASHBOARD" sheetId="12" r:id="rId6"/>
  </sheets>
  <definedNames>
    <definedName name="_xlnm.Print_Titles" localSheetId="1">'2014-15'!$A:$A,'2014-15'!$3:$4</definedName>
    <definedName name="Slicer_year1">#N/A</definedName>
  </definedNames>
  <calcPr calcId="191029"/>
  <pivotCaches>
    <pivotCache cacheId="2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0" l="1"/>
  <c r="L30" i="10"/>
  <c r="N30" i="10"/>
  <c r="J31" i="10"/>
  <c r="L31" i="10"/>
  <c r="N31" i="10"/>
  <c r="J32" i="10"/>
  <c r="L32" i="10"/>
  <c r="N32" i="10"/>
  <c r="K9" i="6"/>
  <c r="T9" i="6" s="1"/>
  <c r="K10" i="6"/>
  <c r="T10" i="6" s="1"/>
  <c r="K15" i="6"/>
  <c r="H31" i="6"/>
  <c r="E48" i="6"/>
  <c r="F48" i="6"/>
  <c r="T17" i="6"/>
  <c r="T16" i="6"/>
  <c r="T15" i="6"/>
  <c r="T14" i="6"/>
  <c r="T13" i="6"/>
  <c r="T12" i="6"/>
  <c r="T11" i="6"/>
  <c r="I70" i="5" l="1"/>
  <c r="S70" i="5"/>
  <c r="Q70" i="5"/>
  <c r="O70" i="5"/>
  <c r="K70" i="5"/>
  <c r="J70" i="5"/>
  <c r="G70" i="5"/>
  <c r="F70" i="5"/>
  <c r="E70" i="5"/>
  <c r="U29" i="5"/>
  <c r="U28" i="5"/>
  <c r="U27" i="5"/>
  <c r="U26" i="5"/>
  <c r="U22" i="5"/>
  <c r="C70" i="5" l="1"/>
  <c r="M70" i="5"/>
  <c r="R70" i="5"/>
  <c r="N70" i="5"/>
  <c r="D70" i="5"/>
  <c r="T70" i="5"/>
  <c r="L70" i="5"/>
  <c r="P70" i="5"/>
  <c r="H70" i="5"/>
  <c r="U70" i="5"/>
  <c r="H75" i="1" l="1"/>
</calcChain>
</file>

<file path=xl/sharedStrings.xml><?xml version="1.0" encoding="utf-8"?>
<sst xmlns="http://schemas.openxmlformats.org/spreadsheetml/2006/main" count="1331" uniqueCount="196">
  <si>
    <t>South Australian GPC by ETF - 2014-15</t>
  </si>
  <si>
    <t xml:space="preserve"> </t>
  </si>
  <si>
    <t>ETF</t>
  </si>
  <si>
    <t>Total GPC</t>
  </si>
  <si>
    <t>GPC</t>
  </si>
  <si>
    <t>Funded super</t>
  </si>
  <si>
    <t xml:space="preserve">Wages, sal &amp; supp </t>
  </si>
  <si>
    <t>Other employee expenses</t>
  </si>
  <si>
    <t>Bad debts</t>
  </si>
  <si>
    <t>Benefits to HH</t>
  </si>
  <si>
    <t>other non emp exp</t>
  </si>
  <si>
    <t>depreciation</t>
  </si>
  <si>
    <t>amortisation</t>
  </si>
  <si>
    <t>current grant exp</t>
  </si>
  <si>
    <t>subsidy exp</t>
  </si>
  <si>
    <t>monetary trf to HH</t>
  </si>
  <si>
    <t>other curr trf</t>
  </si>
  <si>
    <t>Capital grant exp</t>
  </si>
  <si>
    <t>Assets Donated</t>
  </si>
  <si>
    <t>other capital trf exp</t>
  </si>
  <si>
    <t>Nom int on unf super</t>
  </si>
  <si>
    <t>interest exp</t>
  </si>
  <si>
    <t>0190</t>
  </si>
  <si>
    <t>0311</t>
  </si>
  <si>
    <t>0312</t>
  </si>
  <si>
    <t>0320</t>
  </si>
  <si>
    <t>0330</t>
  </si>
  <si>
    <t>0390</t>
  </si>
  <si>
    <t>0411</t>
  </si>
  <si>
    <t>0412</t>
  </si>
  <si>
    <t>0419</t>
  </si>
  <si>
    <t>0421</t>
  </si>
  <si>
    <t>0422</t>
  </si>
  <si>
    <t>0429</t>
  </si>
  <si>
    <t>0431</t>
  </si>
  <si>
    <t>0432</t>
  </si>
  <si>
    <t>0439</t>
  </si>
  <si>
    <t>0449</t>
  </si>
  <si>
    <t>0490</t>
  </si>
  <si>
    <t>0511</t>
  </si>
  <si>
    <t>0512</t>
  </si>
  <si>
    <t>0520</t>
  </si>
  <si>
    <t>0530</t>
  </si>
  <si>
    <t>0541</t>
  </si>
  <si>
    <t>0542</t>
  </si>
  <si>
    <t>0549</t>
  </si>
  <si>
    <t>0550</t>
  </si>
  <si>
    <t>0560</t>
  </si>
  <si>
    <t>0570</t>
  </si>
  <si>
    <t>0590</t>
  </si>
  <si>
    <t>0610</t>
  </si>
  <si>
    <t>0621</t>
  </si>
  <si>
    <t>0622</t>
  </si>
  <si>
    <t>0623</t>
  </si>
  <si>
    <t>0629</t>
  </si>
  <si>
    <t>0690</t>
  </si>
  <si>
    <t>0711</t>
  </si>
  <si>
    <t>0712</t>
  </si>
  <si>
    <t>0719</t>
  </si>
  <si>
    <t>0729</t>
  </si>
  <si>
    <t>0739</t>
  </si>
  <si>
    <t>0791</t>
  </si>
  <si>
    <t>0799</t>
  </si>
  <si>
    <t>0811</t>
  </si>
  <si>
    <t>0819</t>
  </si>
  <si>
    <t>0820</t>
  </si>
  <si>
    <t>0830</t>
  </si>
  <si>
    <t>0890</t>
  </si>
  <si>
    <t>0919</t>
  </si>
  <si>
    <t>0921</t>
  </si>
  <si>
    <t>0922</t>
  </si>
  <si>
    <t>0929</t>
  </si>
  <si>
    <t>0990</t>
  </si>
  <si>
    <t>1010</t>
  </si>
  <si>
    <t>1020</t>
  </si>
  <si>
    <t>1110</t>
  </si>
  <si>
    <t>1130</t>
  </si>
  <si>
    <t>1212</t>
  </si>
  <si>
    <t>1219</t>
  </si>
  <si>
    <t>1223</t>
  </si>
  <si>
    <t>1231</t>
  </si>
  <si>
    <t>1281</t>
  </si>
  <si>
    <t>1289</t>
  </si>
  <si>
    <t>1290</t>
  </si>
  <si>
    <t>1320</t>
  </si>
  <si>
    <t>1339</t>
  </si>
  <si>
    <t>1390</t>
  </si>
  <si>
    <t>1410</t>
  </si>
  <si>
    <t>1420</t>
  </si>
  <si>
    <t>1430</t>
  </si>
  <si>
    <t>1490</t>
  </si>
  <si>
    <t>3450</t>
  </si>
  <si>
    <t>TOTAL</t>
  </si>
  <si>
    <t>Other general public services</t>
  </si>
  <si>
    <t>Law courts and legal services</t>
  </si>
  <si>
    <t>Prisons and corrective services</t>
  </si>
  <si>
    <t>Other public order and safety</t>
  </si>
  <si>
    <t>Pre-school education and education not definable by level</t>
  </si>
  <si>
    <t>Education n.e.c.</t>
  </si>
  <si>
    <t>Nursing homes for the aged</t>
  </si>
  <si>
    <t>Public health services</t>
  </si>
  <si>
    <t>Pharmaceuticals, medical aids and appliances</t>
  </si>
  <si>
    <t>Health research</t>
  </si>
  <si>
    <t>Health administration n.e.c.</t>
  </si>
  <si>
    <t>Social security</t>
  </si>
  <si>
    <t>Social security and welfare services n.e.c.</t>
  </si>
  <si>
    <t>Cultural facilities and services</t>
  </si>
  <si>
    <t>Broadcasting and film production</t>
  </si>
  <si>
    <t>Recreation and culture n.e.c.</t>
  </si>
  <si>
    <t>Fuel and energy n.e.c.</t>
  </si>
  <si>
    <t>Agriculture</t>
  </si>
  <si>
    <t>Forestry, fishing and hunting</t>
  </si>
  <si>
    <t>Mining and mineral resources other than fuels</t>
  </si>
  <si>
    <t>Construction</t>
  </si>
  <si>
    <t>Communications</t>
  </si>
  <si>
    <t>Tourism and area promotion</t>
  </si>
  <si>
    <t>Public debt transactions</t>
  </si>
  <si>
    <t>Natural disaster relief</t>
  </si>
  <si>
    <t>Nominal superannuation interest expense</t>
  </si>
  <si>
    <t>Other purposes n.e.c.</t>
  </si>
  <si>
    <t>Police services</t>
  </si>
  <si>
    <t>Fire protection services</t>
  </si>
  <si>
    <t>Primary education</t>
  </si>
  <si>
    <t>Secondary education</t>
  </si>
  <si>
    <t>Primary and secondary education n.e.c.</t>
  </si>
  <si>
    <t>University education</t>
  </si>
  <si>
    <t>Technical and further education</t>
  </si>
  <si>
    <t>Tertiary education n.e.c.</t>
  </si>
  <si>
    <t>Special education</t>
  </si>
  <si>
    <t>Other education not definable by level</t>
  </si>
  <si>
    <t>Transportation of other students</t>
  </si>
  <si>
    <t>Admitted patients in acute care institutions</t>
  </si>
  <si>
    <t>Non-admitted patients in acute care institutions</t>
  </si>
  <si>
    <t>Mental Health Institutions</t>
  </si>
  <si>
    <t>Community mental health services</t>
  </si>
  <si>
    <t>Patient transport</t>
  </si>
  <si>
    <t>Other community helath services</t>
  </si>
  <si>
    <t>Family and child welfare services</t>
  </si>
  <si>
    <t>Welfare services for the aged</t>
  </si>
  <si>
    <t>Welfare services for people with a disability</t>
  </si>
  <si>
    <t>Welfare services n.e.c.</t>
  </si>
  <si>
    <t>Housing</t>
  </si>
  <si>
    <t>Aboriginal community development</t>
  </si>
  <si>
    <t>Other community development</t>
  </si>
  <si>
    <t>Other water supply</t>
  </si>
  <si>
    <t>Other sanitation and protection of the environment n.e.c.</t>
  </si>
  <si>
    <t>Aboriginal community amenities</t>
  </si>
  <si>
    <t>National parks and wildlife</t>
  </si>
  <si>
    <t>Recreation facilities and services n.e.c.</t>
  </si>
  <si>
    <t>Fuel affairs and services n.e.c.</t>
  </si>
  <si>
    <t>Aboriginal community electricity services</t>
  </si>
  <si>
    <t>Other electricity</t>
  </si>
  <si>
    <t>Other energy</t>
  </si>
  <si>
    <t>Road maintenance</t>
  </si>
  <si>
    <t>Road transport n.e.c.</t>
  </si>
  <si>
    <t>Non urban water transport services</t>
  </si>
  <si>
    <t>Urban rail transport services</t>
  </si>
  <si>
    <t>Multi-mode urban transport</t>
  </si>
  <si>
    <t>Other transport n.e.c.</t>
  </si>
  <si>
    <t>Other labour and employment affairs</t>
  </si>
  <si>
    <t>Other economic affairs n.e.c.</t>
  </si>
  <si>
    <t>General Purpose inter-government transactions</t>
  </si>
  <si>
    <t>Description</t>
  </si>
  <si>
    <t>Wages, sal &amp; supp</t>
  </si>
  <si>
    <t>Total Other employee exp</t>
  </si>
  <si>
    <t>South Australian GPC by ETF - 2012-13</t>
  </si>
  <si>
    <t>Assumption  of liabilities</t>
  </si>
  <si>
    <t>Adjusted Wages, sal &amp; supp</t>
  </si>
  <si>
    <t>Adjusted total Other employee exp</t>
  </si>
  <si>
    <t>South Australian GPC by ETF - 2013-14</t>
  </si>
  <si>
    <t>Other non emp exp</t>
  </si>
  <si>
    <t>Depreciation</t>
  </si>
  <si>
    <t>Amortisation</t>
  </si>
  <si>
    <t>Current grant exp</t>
  </si>
  <si>
    <t>Subsidy exp</t>
  </si>
  <si>
    <t>Monetary trf to HH</t>
  </si>
  <si>
    <t>Other curr trf</t>
  </si>
  <si>
    <t>Other capital trf exp</t>
  </si>
  <si>
    <t>Interest exp</t>
  </si>
  <si>
    <t>1249</t>
  </si>
  <si>
    <t>Other air transport services</t>
  </si>
  <si>
    <t>CODE</t>
  </si>
  <si>
    <t>sector</t>
  </si>
  <si>
    <t>year</t>
  </si>
  <si>
    <t>2012-13'</t>
  </si>
  <si>
    <t>2013-14'</t>
  </si>
  <si>
    <t>2014-15'</t>
  </si>
  <si>
    <t>2015-16'</t>
  </si>
  <si>
    <t>Total spending</t>
  </si>
  <si>
    <t>Row Labels</t>
  </si>
  <si>
    <t>Grand Total</t>
  </si>
  <si>
    <t>Sum of Total spending</t>
  </si>
  <si>
    <t>Column Labels</t>
  </si>
  <si>
    <t>Growth</t>
  </si>
  <si>
    <t>Health Growth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</si>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</sst>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0"/>
  </numFmts>
  <fonts count="15" x14ac:knownFonts="1">
    <font>
      <sz val="10"/>
      <color theme="1"/>
      <name val="Arial"/>
      <family val="2"/>
    </font>
    <font>
      <sz val="10"/>
      <color theme="1"/>
      <name val="Arial"/>
      <family val="2"/>
    </font>
    <font>
      <b/>
      <sz val="10"/>
      <name val="Arial"/>
      <family val="2"/>
    </font>
    <font>
      <sz val="10"/>
      <name val="Arial"/>
      <family val="2"/>
    </font>
    <font>
      <sz val="9"/>
      <name val="Arial"/>
      <family val="2"/>
    </font>
    <font>
      <b/>
      <sz val="8"/>
      <name val="Arial"/>
      <family val="2"/>
    </font>
    <font>
      <b/>
      <sz val="9"/>
      <name val="Arial"/>
      <family val="2"/>
    </font>
    <font>
      <sz val="8"/>
      <name val="Arial"/>
      <family val="2"/>
    </font>
    <font>
      <sz val="8"/>
      <color indexed="8"/>
      <name val="ARIAL"/>
      <family val="2"/>
    </font>
    <font>
      <sz val="10"/>
      <color indexed="8"/>
      <name val="Arial"/>
      <family val="2"/>
    </font>
    <font>
      <sz val="8"/>
      <color theme="1"/>
      <name val="Arial"/>
      <family val="2"/>
    </font>
    <font>
      <sz val="12"/>
      <color rgb="FFFF0000"/>
      <name val="Arial"/>
      <family val="2"/>
    </font>
    <font>
      <b/>
      <sz val="11"/>
      <name val="Arial"/>
      <family val="2"/>
    </font>
    <font>
      <b/>
      <sz val="8"/>
      <color theme="1"/>
      <name val="Arial"/>
      <family val="2"/>
    </font>
    <font>
      <b/>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249977111117893"/>
        <bgColor rgb="FF000000"/>
      </patternFill>
    </fill>
  </fills>
  <borders count="43">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dotted">
        <color indexed="64"/>
      </bottom>
      <diagonal/>
    </border>
    <border>
      <left style="thin">
        <color indexed="64"/>
      </left>
      <right style="thin">
        <color indexed="64"/>
      </right>
      <top/>
      <bottom style="dotted">
        <color indexed="64"/>
      </bottom>
      <diagonal/>
    </border>
    <border>
      <left/>
      <right style="medium">
        <color indexed="64"/>
      </right>
      <top/>
      <bottom style="dotted">
        <color indexed="64"/>
      </bottom>
      <diagonal/>
    </border>
    <border>
      <left style="medium">
        <color indexed="64"/>
      </left>
      <right/>
      <top style="dotted">
        <color indexed="64"/>
      </top>
      <bottom/>
      <diagonal/>
    </border>
    <border>
      <left style="thin">
        <color indexed="64"/>
      </left>
      <right style="thin">
        <color indexed="64"/>
      </right>
      <top style="dotted">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hair">
        <color indexed="64"/>
      </top>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s>
  <cellStyleXfs count="8">
    <xf numFmtId="0" fontId="0" fillId="0" borderId="0"/>
    <xf numFmtId="43" fontId="1" fillId="0" borderId="0" applyFont="0" applyFill="0" applyBorder="0" applyAlignment="0" applyProtection="0"/>
    <xf numFmtId="0" fontId="3" fillId="0" borderId="0">
      <alignment vertical="top"/>
    </xf>
    <xf numFmtId="0" fontId="3" fillId="0" borderId="0"/>
    <xf numFmtId="43" fontId="3" fillId="0" borderId="0" applyFont="0" applyFill="0" applyBorder="0" applyAlignment="0" applyProtection="0"/>
    <xf numFmtId="43" fontId="9" fillId="0" borderId="0" applyFont="0" applyFill="0" applyBorder="0" applyAlignment="0" applyProtection="0">
      <alignment vertical="top"/>
    </xf>
    <xf numFmtId="0" fontId="1" fillId="0" borderId="0"/>
    <xf numFmtId="0" fontId="9" fillId="0" borderId="0">
      <alignment vertical="top"/>
    </xf>
  </cellStyleXfs>
  <cellXfs count="133">
    <xf numFmtId="0" fontId="0" fillId="0" borderId="0" xfId="0"/>
    <xf numFmtId="0" fontId="0" fillId="0" borderId="0" xfId="0" applyAlignment="1">
      <alignment vertical="top"/>
    </xf>
    <xf numFmtId="0" fontId="3"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7" xfId="0" applyFont="1" applyBorder="1" applyAlignment="1">
      <alignment vertical="top"/>
    </xf>
    <xf numFmtId="3" fontId="7" fillId="0" borderId="8" xfId="0" applyNumberFormat="1" applyFont="1" applyBorder="1" applyAlignment="1">
      <alignment vertical="top"/>
    </xf>
    <xf numFmtId="3" fontId="7" fillId="0" borderId="9" xfId="0" applyNumberFormat="1" applyFont="1" applyBorder="1" applyAlignment="1">
      <alignment vertical="top"/>
    </xf>
    <xf numFmtId="3" fontId="4" fillId="0" borderId="0" xfId="0" applyNumberFormat="1" applyFont="1" applyAlignment="1">
      <alignment vertical="top"/>
    </xf>
    <xf numFmtId="0" fontId="7" fillId="0" borderId="10" xfId="0" applyFont="1" applyBorder="1" applyAlignment="1">
      <alignment vertical="top"/>
    </xf>
    <xf numFmtId="3" fontId="7" fillId="0" borderId="11" xfId="0" applyNumberFormat="1" applyFont="1" applyBorder="1" applyAlignment="1">
      <alignment vertical="top"/>
    </xf>
    <xf numFmtId="3" fontId="7" fillId="0" borderId="12" xfId="0" applyNumberFormat="1" applyFont="1" applyBorder="1" applyAlignment="1">
      <alignment vertical="top"/>
    </xf>
    <xf numFmtId="0" fontId="7" fillId="0" borderId="13" xfId="0" applyFont="1" applyBorder="1" applyAlignment="1">
      <alignment vertical="top"/>
    </xf>
    <xf numFmtId="3" fontId="7" fillId="0" borderId="14" xfId="0" applyNumberFormat="1" applyFont="1" applyBorder="1" applyAlignment="1">
      <alignment vertical="top"/>
    </xf>
    <xf numFmtId="3" fontId="7" fillId="0" borderId="15" xfId="0" applyNumberFormat="1" applyFont="1" applyBorder="1" applyAlignment="1">
      <alignment vertical="top"/>
    </xf>
    <xf numFmtId="0" fontId="7" fillId="0" borderId="16" xfId="0" applyFont="1" applyBorder="1" applyAlignment="1">
      <alignment vertical="top"/>
    </xf>
    <xf numFmtId="3" fontId="7" fillId="0" borderId="17" xfId="0" applyNumberFormat="1" applyFont="1" applyBorder="1" applyAlignment="1">
      <alignment vertical="top"/>
    </xf>
    <xf numFmtId="3" fontId="7" fillId="0" borderId="18" xfId="0" applyNumberFormat="1" applyFont="1" applyBorder="1" applyAlignment="1">
      <alignment vertical="top"/>
    </xf>
    <xf numFmtId="3" fontId="3" fillId="0" borderId="0" xfId="0" applyNumberFormat="1" applyFont="1" applyAlignment="1">
      <alignment vertical="top"/>
    </xf>
    <xf numFmtId="3" fontId="0" fillId="0" borderId="0" xfId="0" applyNumberFormat="1" applyAlignment="1">
      <alignment vertical="top"/>
    </xf>
    <xf numFmtId="0" fontId="7" fillId="0" borderId="19" xfId="0" applyFont="1" applyBorder="1" applyAlignment="1">
      <alignment vertical="top"/>
    </xf>
    <xf numFmtId="3" fontId="7" fillId="0" borderId="20" xfId="0" applyNumberFormat="1" applyFont="1" applyBorder="1" applyAlignment="1">
      <alignment vertical="top"/>
    </xf>
    <xf numFmtId="3" fontId="7" fillId="0" borderId="21" xfId="0" applyNumberFormat="1" applyFont="1" applyBorder="1" applyAlignment="1">
      <alignment vertical="top"/>
    </xf>
    <xf numFmtId="0" fontId="7" fillId="0" borderId="19" xfId="0" quotePrefix="1" applyFont="1" applyBorder="1" applyAlignment="1">
      <alignment vertical="top"/>
    </xf>
    <xf numFmtId="0" fontId="7" fillId="0" borderId="22" xfId="0" quotePrefix="1" applyFont="1" applyBorder="1" applyAlignment="1">
      <alignment vertical="top"/>
    </xf>
    <xf numFmtId="3" fontId="7" fillId="0" borderId="23"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0" fontId="0" fillId="0" borderId="25" xfId="0" applyBorder="1" applyAlignment="1">
      <alignment vertical="top"/>
    </xf>
    <xf numFmtId="3" fontId="7" fillId="0" borderId="26" xfId="0" applyNumberFormat="1" applyFont="1" applyBorder="1" applyAlignment="1">
      <alignment vertical="top"/>
    </xf>
    <xf numFmtId="0" fontId="5" fillId="0" borderId="4" xfId="0" applyFont="1" applyBorder="1" applyAlignment="1">
      <alignment horizontal="center" vertical="top"/>
    </xf>
    <xf numFmtId="3" fontId="5" fillId="0" borderId="5" xfId="0" applyNumberFormat="1" applyFont="1" applyBorder="1" applyAlignment="1">
      <alignment vertical="top"/>
    </xf>
    <xf numFmtId="3" fontId="5" fillId="0" borderId="6" xfId="0" applyNumberFormat="1" applyFont="1" applyBorder="1" applyAlignment="1">
      <alignment vertical="top"/>
    </xf>
    <xf numFmtId="0" fontId="7" fillId="0" borderId="27" xfId="0" applyFont="1" applyBorder="1" applyAlignment="1">
      <alignment vertical="top"/>
    </xf>
    <xf numFmtId="3" fontId="7" fillId="0" borderId="28" xfId="0" applyNumberFormat="1" applyFont="1" applyBorder="1" applyAlignment="1">
      <alignment vertical="top"/>
    </xf>
    <xf numFmtId="3" fontId="7" fillId="0" borderId="29" xfId="0" applyNumberFormat="1" applyFont="1" applyBorder="1" applyAlignment="1">
      <alignment vertical="top"/>
    </xf>
    <xf numFmtId="3" fontId="7" fillId="0" borderId="30" xfId="0" applyNumberFormat="1" applyFont="1" applyBorder="1" applyAlignment="1">
      <alignment vertical="top"/>
    </xf>
    <xf numFmtId="3" fontId="7" fillId="0" borderId="0" xfId="0" applyNumberFormat="1" applyFont="1" applyAlignment="1">
      <alignment vertical="top"/>
    </xf>
    <xf numFmtId="164" fontId="0" fillId="0" borderId="0" xfId="1" applyNumberFormat="1" applyFont="1" applyAlignment="1">
      <alignment vertical="top"/>
    </xf>
    <xf numFmtId="0" fontId="5" fillId="0" borderId="0" xfId="0" applyFont="1" applyAlignment="1">
      <alignment vertical="top"/>
    </xf>
    <xf numFmtId="0" fontId="10" fillId="0" borderId="0" xfId="0" applyFont="1" applyAlignment="1">
      <alignment vertical="top"/>
    </xf>
    <xf numFmtId="0" fontId="10" fillId="0" borderId="32" xfId="0" applyFont="1" applyBorder="1" applyAlignment="1">
      <alignment vertical="top"/>
    </xf>
    <xf numFmtId="0" fontId="8" fillId="0" borderId="8" xfId="2" applyFont="1" applyBorder="1" applyAlignment="1">
      <alignment horizontal="left" vertical="top"/>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5" fillId="2" borderId="8" xfId="0" applyFont="1" applyFill="1" applyBorder="1" applyAlignment="1">
      <alignment horizontal="center" vertical="top" wrapText="1"/>
    </xf>
    <xf numFmtId="0" fontId="5" fillId="2" borderId="9" xfId="0" applyFont="1" applyFill="1" applyBorder="1" applyAlignment="1">
      <alignment horizontal="center" vertical="top"/>
    </xf>
    <xf numFmtId="3" fontId="2" fillId="0" borderId="0" xfId="0" applyNumberFormat="1" applyFont="1" applyAlignment="1">
      <alignment vertical="top"/>
    </xf>
    <xf numFmtId="0" fontId="11" fillId="0" borderId="0" xfId="0" applyFont="1" applyAlignment="1">
      <alignment vertical="top"/>
    </xf>
    <xf numFmtId="0" fontId="2" fillId="0" borderId="0" xfId="0" applyFont="1" applyAlignment="1">
      <alignment vertical="top"/>
    </xf>
    <xf numFmtId="1" fontId="5" fillId="3" borderId="2" xfId="0" applyNumberFormat="1" applyFont="1" applyFill="1" applyBorder="1" applyAlignment="1">
      <alignment horizontal="center" vertical="top"/>
    </xf>
    <xf numFmtId="165" fontId="5" fillId="3" borderId="2" xfId="0" applyNumberFormat="1"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3" fontId="5" fillId="3" borderId="8" xfId="0" applyNumberFormat="1" applyFont="1" applyFill="1" applyBorder="1" applyAlignment="1">
      <alignment horizontal="center" vertical="top" wrapText="1"/>
    </xf>
    <xf numFmtId="0" fontId="5" fillId="3" borderId="8" xfId="0" applyFont="1" applyFill="1" applyBorder="1" applyAlignment="1">
      <alignment horizontal="center" vertical="top" wrapText="1"/>
    </xf>
    <xf numFmtId="0" fontId="5" fillId="3" borderId="9" xfId="0" applyFont="1" applyFill="1" applyBorder="1" applyAlignment="1">
      <alignment horizontal="center" vertical="top"/>
    </xf>
    <xf numFmtId="3" fontId="4" fillId="0" borderId="0" xfId="0" applyNumberFormat="1" applyFont="1"/>
    <xf numFmtId="3" fontId="0" fillId="0" borderId="0" xfId="0" applyNumberFormat="1"/>
    <xf numFmtId="0" fontId="3" fillId="0" borderId="0" xfId="0" applyFont="1"/>
    <xf numFmtId="0" fontId="7" fillId="0" borderId="0" xfId="0" applyFont="1"/>
    <xf numFmtId="0" fontId="5" fillId="0" borderId="0" xfId="0" applyFont="1" applyAlignment="1">
      <alignment horizontal="center" vertical="top"/>
    </xf>
    <xf numFmtId="0" fontId="7" fillId="0" borderId="0" xfId="0" applyFont="1" applyAlignment="1">
      <alignment horizontal="center" vertical="top"/>
    </xf>
    <xf numFmtId="0" fontId="7" fillId="0" borderId="31" xfId="0" applyFont="1" applyBorder="1" applyAlignment="1">
      <alignment vertical="top"/>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0" xfId="0" applyFont="1" applyAlignment="1">
      <alignment horizontal="center" vertical="top" wrapText="1"/>
    </xf>
    <xf numFmtId="0" fontId="7" fillId="0" borderId="8" xfId="0" applyFont="1" applyBorder="1" applyAlignment="1">
      <alignment vertical="top"/>
    </xf>
    <xf numFmtId="0" fontId="7" fillId="0" borderId="11" xfId="0" applyFont="1" applyBorder="1" applyAlignment="1">
      <alignment vertical="top"/>
    </xf>
    <xf numFmtId="0" fontId="7" fillId="0" borderId="14" xfId="0" applyFont="1" applyBorder="1" applyAlignment="1">
      <alignment vertical="top"/>
    </xf>
    <xf numFmtId="0" fontId="7" fillId="0" borderId="17" xfId="0" applyFont="1" applyBorder="1" applyAlignment="1">
      <alignment vertical="top"/>
    </xf>
    <xf numFmtId="0" fontId="7" fillId="0" borderId="20" xfId="0" applyFont="1" applyBorder="1" applyAlignment="1">
      <alignment vertical="top"/>
    </xf>
    <xf numFmtId="0" fontId="7" fillId="0" borderId="5" xfId="0" applyFont="1" applyBorder="1" applyAlignment="1">
      <alignment vertical="top"/>
    </xf>
    <xf numFmtId="3" fontId="7" fillId="0" borderId="5" xfId="0" applyNumberFormat="1" applyFont="1" applyBorder="1" applyAlignment="1">
      <alignment vertical="top"/>
    </xf>
    <xf numFmtId="3" fontId="5" fillId="0" borderId="4" xfId="0" applyNumberFormat="1" applyFont="1" applyBorder="1" applyAlignment="1">
      <alignment horizontal="right" vertical="top"/>
    </xf>
    <xf numFmtId="0" fontId="7" fillId="0" borderId="33" xfId="0" applyFont="1" applyBorder="1" applyAlignment="1">
      <alignment vertical="top"/>
    </xf>
    <xf numFmtId="0" fontId="5" fillId="0" borderId="34" xfId="0" applyFont="1" applyBorder="1" applyAlignment="1">
      <alignment horizontal="center" vertical="top"/>
    </xf>
    <xf numFmtId="3" fontId="5" fillId="0" borderId="35" xfId="0" applyNumberFormat="1" applyFont="1" applyBorder="1" applyAlignment="1">
      <alignment vertical="top"/>
    </xf>
    <xf numFmtId="3" fontId="5" fillId="0" borderId="36" xfId="0" applyNumberFormat="1" applyFont="1" applyBorder="1" applyAlignment="1">
      <alignment vertical="top"/>
    </xf>
    <xf numFmtId="164" fontId="7" fillId="0" borderId="0" xfId="1" applyNumberFormat="1" applyFont="1" applyFill="1" applyAlignment="1">
      <alignment vertical="top"/>
    </xf>
    <xf numFmtId="3" fontId="7" fillId="0" borderId="0" xfId="1" applyNumberFormat="1" applyFont="1" applyFill="1" applyAlignment="1">
      <alignment vertical="top"/>
    </xf>
    <xf numFmtId="3" fontId="2" fillId="0" borderId="0" xfId="1" applyNumberFormat="1" applyFont="1" applyFill="1" applyAlignment="1">
      <alignment vertical="top"/>
    </xf>
    <xf numFmtId="3" fontId="2" fillId="0" borderId="0" xfId="0" applyNumberFormat="1" applyFont="1" applyAlignment="1">
      <alignment horizontal="center" vertical="top"/>
    </xf>
    <xf numFmtId="0" fontId="9" fillId="0" borderId="0" xfId="0" applyFont="1"/>
    <xf numFmtId="3" fontId="9" fillId="0" borderId="0" xfId="0" applyNumberFormat="1" applyFont="1"/>
    <xf numFmtId="0" fontId="0" fillId="0" borderId="0" xfId="0" applyAlignment="1">
      <alignment horizontal="left"/>
    </xf>
    <xf numFmtId="3" fontId="9" fillId="0" borderId="0" xfId="0" applyNumberFormat="1" applyFont="1" applyAlignment="1">
      <alignment horizontal="left"/>
    </xf>
    <xf numFmtId="3" fontId="0" fillId="0" borderId="0" xfId="0" applyNumberFormat="1" applyAlignment="1">
      <alignment horizontal="left"/>
    </xf>
    <xf numFmtId="0" fontId="5" fillId="3" borderId="1" xfId="0" applyFont="1" applyFill="1" applyBorder="1" applyAlignment="1">
      <alignment horizontal="center" vertical="top"/>
    </xf>
    <xf numFmtId="0" fontId="5" fillId="3" borderId="7" xfId="0" applyFont="1" applyFill="1" applyBorder="1" applyAlignment="1">
      <alignment horizontal="center" vertical="top"/>
    </xf>
    <xf numFmtId="3" fontId="7" fillId="0" borderId="37" xfId="0" applyNumberFormat="1" applyFont="1" applyBorder="1" applyAlignment="1">
      <alignment vertical="top"/>
    </xf>
    <xf numFmtId="3" fontId="5" fillId="0" borderId="0" xfId="0" applyNumberFormat="1" applyFont="1" applyAlignment="1">
      <alignment horizontal="right" vertical="top"/>
    </xf>
    <xf numFmtId="0" fontId="7" fillId="0" borderId="19" xfId="0" applyFont="1" applyBorder="1" applyAlignment="1">
      <alignment horizontal="left" vertical="top"/>
    </xf>
    <xf numFmtId="165" fontId="7" fillId="0" borderId="13" xfId="0" applyNumberFormat="1" applyFont="1" applyBorder="1" applyAlignment="1">
      <alignment horizontal="left" vertical="top"/>
    </xf>
    <xf numFmtId="3" fontId="7" fillId="0" borderId="0" xfId="0" applyNumberFormat="1" applyFont="1" applyAlignment="1">
      <alignment horizontal="right" vertical="top"/>
    </xf>
    <xf numFmtId="3" fontId="5" fillId="0" borderId="0" xfId="1" applyNumberFormat="1" applyFont="1" applyFill="1" applyBorder="1" applyAlignment="1">
      <alignment horizontal="right" vertical="top"/>
    </xf>
    <xf numFmtId="3" fontId="5" fillId="0" borderId="0" xfId="1" applyNumberFormat="1" applyFont="1" applyBorder="1" applyAlignment="1">
      <alignment horizontal="right" vertical="top"/>
    </xf>
    <xf numFmtId="3" fontId="5" fillId="0" borderId="4" xfId="1" applyNumberFormat="1" applyFont="1" applyBorder="1" applyAlignment="1">
      <alignment horizontal="right" vertical="top"/>
    </xf>
    <xf numFmtId="3" fontId="0" fillId="0" borderId="0" xfId="0" applyNumberFormat="1" applyAlignment="1">
      <alignment horizontal="right" vertical="top"/>
    </xf>
    <xf numFmtId="0" fontId="8" fillId="0" borderId="11" xfId="2" applyFont="1" applyBorder="1" applyAlignment="1">
      <alignment horizontal="left" vertical="top"/>
    </xf>
    <xf numFmtId="0" fontId="8" fillId="0" borderId="14" xfId="2" applyFont="1" applyBorder="1" applyAlignment="1">
      <alignment horizontal="left" vertical="top"/>
    </xf>
    <xf numFmtId="0" fontId="8" fillId="0" borderId="17" xfId="2" applyFont="1" applyBorder="1" applyAlignment="1">
      <alignment horizontal="left" vertical="top"/>
    </xf>
    <xf numFmtId="0" fontId="8" fillId="0" borderId="20" xfId="2" applyFont="1" applyBorder="1" applyAlignment="1">
      <alignment horizontal="left" vertical="top"/>
    </xf>
    <xf numFmtId="0" fontId="2" fillId="0" borderId="0" xfId="0" applyFont="1" applyAlignment="1">
      <alignment vertical="top" wrapText="1"/>
    </xf>
    <xf numFmtId="0" fontId="0" fillId="0" borderId="0" xfId="0" applyAlignment="1">
      <alignment vertical="top" wrapText="1"/>
    </xf>
    <xf numFmtId="0" fontId="5" fillId="3" borderId="2" xfId="0" applyFont="1" applyFill="1" applyBorder="1" applyAlignment="1">
      <alignment horizontal="center" vertical="top" wrapText="1"/>
    </xf>
    <xf numFmtId="0" fontId="8" fillId="0" borderId="8" xfId="2" applyFont="1" applyBorder="1" applyAlignment="1">
      <alignment horizontal="left" vertical="top" wrapText="1"/>
    </xf>
    <xf numFmtId="0" fontId="8" fillId="0" borderId="38" xfId="2" applyFont="1" applyBorder="1" applyAlignment="1">
      <alignment horizontal="left" vertical="top" wrapText="1"/>
    </xf>
    <xf numFmtId="0" fontId="8" fillId="0" borderId="14" xfId="2" applyFont="1" applyBorder="1" applyAlignment="1">
      <alignment horizontal="left" vertical="top" wrapText="1"/>
    </xf>
    <xf numFmtId="0" fontId="8" fillId="0" borderId="17" xfId="2" applyFont="1" applyBorder="1" applyAlignment="1">
      <alignment horizontal="left" vertical="top" wrapText="1"/>
    </xf>
    <xf numFmtId="0" fontId="8" fillId="0" borderId="20" xfId="2" applyFont="1" applyBorder="1" applyAlignment="1">
      <alignment horizontal="left" vertical="top" wrapText="1"/>
    </xf>
    <xf numFmtId="0" fontId="8" fillId="0" borderId="30" xfId="2" applyFont="1" applyBorder="1" applyAlignment="1">
      <alignment horizontal="left" vertical="top" wrapText="1"/>
    </xf>
    <xf numFmtId="164" fontId="7" fillId="0" borderId="0" xfId="1" applyNumberFormat="1" applyFont="1" applyFill="1" applyAlignment="1">
      <alignment vertical="top" wrapText="1"/>
    </xf>
    <xf numFmtId="0" fontId="9" fillId="0" borderId="0" xfId="0" applyFont="1" applyAlignment="1">
      <alignment wrapText="1"/>
    </xf>
    <xf numFmtId="0" fontId="7" fillId="0" borderId="0" xfId="0" applyFont="1" applyAlignment="1">
      <alignment vertical="top" wrapText="1"/>
    </xf>
    <xf numFmtId="0" fontId="0" fillId="0" borderId="0" xfId="0" applyAlignment="1">
      <alignment wrapText="1"/>
    </xf>
    <xf numFmtId="3" fontId="7" fillId="0" borderId="39" xfId="0" applyNumberFormat="1" applyFont="1" applyBorder="1" applyAlignment="1">
      <alignment vertical="top"/>
    </xf>
    <xf numFmtId="0" fontId="12" fillId="0" borderId="0" xfId="0" applyFont="1" applyAlignment="1">
      <alignment vertical="top"/>
    </xf>
    <xf numFmtId="0" fontId="5" fillId="4" borderId="7" xfId="0" applyFont="1" applyFill="1" applyBorder="1" applyAlignment="1">
      <alignment horizontal="center" vertical="top"/>
    </xf>
    <xf numFmtId="0" fontId="5" fillId="3" borderId="8" xfId="0" applyFont="1" applyFill="1" applyBorder="1" applyAlignment="1">
      <alignment horizontal="center" vertical="top"/>
    </xf>
    <xf numFmtId="0" fontId="5" fillId="4" borderId="8" xfId="0" applyFont="1" applyFill="1" applyBorder="1" applyAlignment="1">
      <alignment horizontal="center" vertical="top" wrapText="1"/>
    </xf>
    <xf numFmtId="0" fontId="5" fillId="4" borderId="9" xfId="0" applyFont="1" applyFill="1" applyBorder="1" applyAlignment="1">
      <alignment horizontal="center" vertical="top"/>
    </xf>
    <xf numFmtId="3" fontId="7" fillId="0" borderId="40" xfId="0" applyNumberFormat="1" applyFont="1" applyBorder="1" applyAlignment="1">
      <alignment vertical="top"/>
    </xf>
    <xf numFmtId="0" fontId="7" fillId="0" borderId="13" xfId="0" quotePrefix="1" applyFont="1" applyBorder="1" applyAlignment="1">
      <alignment vertical="top"/>
    </xf>
    <xf numFmtId="0" fontId="7" fillId="0" borderId="4" xfId="0" applyFont="1" applyBorder="1" applyAlignment="1">
      <alignment vertical="top"/>
    </xf>
    <xf numFmtId="0" fontId="3" fillId="0" borderId="41" xfId="0" applyFont="1" applyBorder="1" applyAlignment="1">
      <alignment vertical="top"/>
    </xf>
    <xf numFmtId="0" fontId="5" fillId="0" borderId="42" xfId="0" applyFont="1" applyBorder="1" applyAlignment="1">
      <alignment horizontal="center" vertical="top"/>
    </xf>
    <xf numFmtId="0" fontId="13" fillId="0" borderId="0" xfId="0" applyFont="1"/>
    <xf numFmtId="0" fontId="10" fillId="0" borderId="0" xfId="0" quotePrefix="1" applyFont="1"/>
    <xf numFmtId="0" fontId="10" fillId="0" borderId="0" xfId="0" applyFont="1"/>
    <xf numFmtId="0" fontId="0" fillId="0" borderId="0" xfId="0" pivotButton="1"/>
    <xf numFmtId="0" fontId="0" fillId="0" borderId="0" xfId="0" applyNumberFormat="1"/>
    <xf numFmtId="0" fontId="14" fillId="0" borderId="0" xfId="0" applyFont="1"/>
  </cellXfs>
  <cellStyles count="8">
    <cellStyle name="Comma" xfId="1" builtinId="3"/>
    <cellStyle name="Comma 2" xfId="5" xr:uid="{00000000-0005-0000-0000-000001000000}"/>
    <cellStyle name="Comma 3" xfId="4" xr:uid="{00000000-0005-0000-0000-000002000000}"/>
    <cellStyle name="Normal" xfId="0" builtinId="0"/>
    <cellStyle name="Normal 17" xfId="6" xr:uid="{00000000-0005-0000-0000-000004000000}"/>
    <cellStyle name="Normal 2" xfId="7" xr:uid="{00000000-0005-0000-0000-000005000000}"/>
    <cellStyle name="Normal 3" xfId="3" xr:uid="{00000000-0005-0000-0000-000006000000}"/>
    <cellStyle name="Normal 4" xfId="2" xr:uid="{00000000-0005-0000-0000-000007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[South_Australia_Public_Expenditure_Analysis.xlsx.xlsx]COMBINED_DATA!PivotTable3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Government Spending Sectors (2012–2016</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COMBINED_DATA!$I$41</c:f>
              <c:strCache>
                <c:ptCount val="1"/>
                <c:pt idx="0">
                  <c:v>Total</c:v>
                </c:pt>
              </c:strCache>
            </c:strRef>
          </c:tx>
          <c:spPr>
            <a:solidFill>
              <a:schemeClr val="accent1"/>
            </a:solidFill>
            <a:ln>
              <a:noFill/>
            </a:ln>
            <a:effectLst/>
          </c:spPr>
          <c:invertIfNegative val="0"/>
          <c:cat>
            <c:strRef>
              <c:f>COMBINED_DATA!$H$42:$H$47</c:f>
              <c:strCache>
                <c:ptCount val="5"/>
                <c:pt idx="0">
                  <c:v>Admitted patients in acute care institutions</c:v>
                </c:pt>
                <c:pt idx="1">
                  <c:v>Primary education</c:v>
                </c:pt>
                <c:pt idx="2">
                  <c:v>Secondary education</c:v>
                </c:pt>
                <c:pt idx="3">
                  <c:v>Primary and secondary education n.e.c.</c:v>
                </c:pt>
                <c:pt idx="4">
                  <c:v>Police services</c:v>
                </c:pt>
              </c:strCache>
            </c:strRef>
          </c:cat>
          <c:val>
            <c:numRef>
              <c:f>COMBINED_DATA!$I$42:$I$47</c:f>
              <c:numCache>
                <c:formatCode>General</c:formatCode>
                <c:ptCount val="5"/>
                <c:pt idx="0">
                  <c:v>16864338.952515319</c:v>
                </c:pt>
                <c:pt idx="1">
                  <c:v>5938386.49585969</c:v>
                </c:pt>
                <c:pt idx="2">
                  <c:v>4167231.6468705684</c:v>
                </c:pt>
                <c:pt idx="3">
                  <c:v>3646394</c:v>
                </c:pt>
                <c:pt idx="4">
                  <c:v>3070015</c:v>
                </c:pt>
              </c:numCache>
            </c:numRef>
          </c:val>
          <c:extLst>
            <c:ext xmlns:c16="http://schemas.microsoft.com/office/drawing/2014/chart" uri="{C3380CC4-5D6E-409C-BE32-E72D297353CC}">
              <c16:uniqueId val="{00000000-379B-4EDB-9A6D-4F4DFC9BE7D6}"/>
            </c:ext>
          </c:extLst>
        </c:ser>
        <c:dLbls>
          <c:showLegendKey val="0"/>
          <c:showVal val="0"/>
          <c:showCatName val="0"/>
          <c:showSerName val="0"/>
          <c:showPercent val="0"/>
          <c:showBubbleSize val="0"/>
        </c:dLbls>
        <c:gapWidth val="219"/>
        <c:overlap val="-27"/>
        <c:axId val="381944464"/>
        <c:axId val="381944944"/>
      </c:barChart>
      <c:catAx>
        <c:axId val="38194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44944"/>
        <c:crosses val="autoZero"/>
        <c:auto val="1"/>
        <c:lblAlgn val="ctr"/>
        <c:lblOffset val="100"/>
        <c:noMultiLvlLbl val="0"/>
      </c:catAx>
      <c:valAx>
        <c:axId val="3819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[South_Australia_Public_Expenditure_Analysis.xlsx.xlsx]COMBINED_DATA!PivotTable4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South Australia Government Spending Trends (2012–2016)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COMBINED_DATA!$I$19:$I$20</c:f>
              <c:strCache>
                <c:ptCount val="1"/>
                <c:pt idx="0">
                  <c:v>Admitted patients in acute care institutions</c:v>
                </c:pt>
              </c:strCache>
            </c:strRef>
          </c:tx>
          <c:spPr>
            <a:ln w="28575" cap="rnd">
              <a:solidFill>
                <a:schemeClr val="accent1"/>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COMBINED_DATA!$I$21:$I$25</c:f>
              <c:numCache>
                <c:formatCode>General</c:formatCode>
                <c:ptCount val="4"/>
                <c:pt idx="0">
                  <c:v>4396326.9180734595</c:v>
                </c:pt>
                <c:pt idx="1">
                  <c:v>3985403</c:v>
                </c:pt>
                <c:pt idx="2">
                  <c:v>4138969.0344418604</c:v>
                </c:pt>
                <c:pt idx="3">
                  <c:v>4343640</c:v>
                </c:pt>
              </c:numCache>
            </c:numRef>
          </c:val>
          <c:smooth val="0"/>
          <c:extLst>
            <c:ext xmlns:c16="http://schemas.microsoft.com/office/drawing/2014/chart" uri="{C3380CC4-5D6E-409C-BE32-E72D297353CC}">
              <c16:uniqueId val="{00000000-80F8-4662-B52A-A96DE29F6F8E}"/>
            </c:ext>
          </c:extLst>
        </c:ser>
        <c:ser>
          <c:idx val="1"/>
          <c:order val="1"/>
          <c:tx>
            <c:strRef>
              <c:f>COMBINED_DATA!$J$19:$J$20</c:f>
              <c:strCache>
                <c:ptCount val="1"/>
                <c:pt idx="0">
                  <c:v>Primary education</c:v>
                </c:pt>
              </c:strCache>
            </c:strRef>
          </c:tx>
          <c:spPr>
            <a:ln w="28575" cap="rnd">
              <a:solidFill>
                <a:schemeClr val="accent2"/>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COMBINED_DATA!$J$21:$J$25</c:f>
              <c:numCache>
                <c:formatCode>General</c:formatCode>
                <c:ptCount val="4"/>
                <c:pt idx="0">
                  <c:v>1339131.2960000001</c:v>
                </c:pt>
                <c:pt idx="1">
                  <c:v>1499914.476</c:v>
                </c:pt>
                <c:pt idx="2">
                  <c:v>1531264.7238596901</c:v>
                </c:pt>
                <c:pt idx="3">
                  <c:v>1568076</c:v>
                </c:pt>
              </c:numCache>
            </c:numRef>
          </c:val>
          <c:smooth val="0"/>
          <c:extLst>
            <c:ext xmlns:c16="http://schemas.microsoft.com/office/drawing/2014/chart" uri="{C3380CC4-5D6E-409C-BE32-E72D297353CC}">
              <c16:uniqueId val="{00000001-80F8-4662-B52A-A96DE29F6F8E}"/>
            </c:ext>
          </c:extLst>
        </c:ser>
        <c:ser>
          <c:idx val="2"/>
          <c:order val="2"/>
          <c:tx>
            <c:strRef>
              <c:f>COMBINED_DATA!$K$19:$K$20</c:f>
              <c:strCache>
                <c:ptCount val="1"/>
                <c:pt idx="0">
                  <c:v>Secondary education</c:v>
                </c:pt>
              </c:strCache>
            </c:strRef>
          </c:tx>
          <c:spPr>
            <a:ln w="28575" cap="rnd">
              <a:solidFill>
                <a:schemeClr val="accent3"/>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COMBINED_DATA!$K$21:$K$25</c:f>
              <c:numCache>
                <c:formatCode>General</c:formatCode>
                <c:ptCount val="4"/>
                <c:pt idx="0">
                  <c:v>1080625.2007999998</c:v>
                </c:pt>
                <c:pt idx="1">
                  <c:v>1037208.56</c:v>
                </c:pt>
                <c:pt idx="2">
                  <c:v>1040869.8860705686</c:v>
                </c:pt>
                <c:pt idx="3">
                  <c:v>1008528</c:v>
                </c:pt>
              </c:numCache>
            </c:numRef>
          </c:val>
          <c:smooth val="0"/>
          <c:extLst>
            <c:ext xmlns:c16="http://schemas.microsoft.com/office/drawing/2014/chart" uri="{C3380CC4-5D6E-409C-BE32-E72D297353CC}">
              <c16:uniqueId val="{00000002-80F8-4662-B52A-A96DE29F6F8E}"/>
            </c:ext>
          </c:extLst>
        </c:ser>
        <c:dLbls>
          <c:showLegendKey val="0"/>
          <c:showVal val="0"/>
          <c:showCatName val="0"/>
          <c:showSerName val="0"/>
          <c:showPercent val="0"/>
          <c:showBubbleSize val="0"/>
        </c:dLbls>
        <c:smooth val="0"/>
        <c:axId val="381956944"/>
        <c:axId val="381955984"/>
      </c:lineChart>
      <c:catAx>
        <c:axId val="38195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55984"/>
        <c:crosses val="autoZero"/>
        <c:auto val="1"/>
        <c:lblAlgn val="ctr"/>
        <c:lblOffset val="100"/>
        <c:noMultiLvlLbl val="0"/>
      </c:catAx>
      <c:valAx>
        <c:axId val="38195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Spending ($ Millions)</a:t>
                </a:r>
                <a:endParaRPr lang="en-IN"/>
              </a:p>
            </c:rich>
          </c:tx>
          <c:layout>
            <c:manualLayout>
              <c:xMode val="edge"/>
              <c:yMode val="edge"/>
              <c:x val="2.2446317630979967E-2"/>
              <c:y val="0.210739072171418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5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10583</xdr:rowOff>
    </xdr:from>
    <xdr:to>
      <xdr:col>3</xdr:col>
      <xdr:colOff>304800</xdr:colOff>
      <xdr:row>10</xdr:row>
      <xdr:rowOff>0</xdr:rowOff>
    </xdr:to>
    <xdr:sp macro="" textlink="">
      <xdr:nvSpPr>
        <xdr:cNvPr id="7" name="TextBox 6">
          <a:extLst>
            <a:ext uri="{FF2B5EF4-FFF2-40B4-BE49-F238E27FC236}">
              <a16:creationId xmlns:a16="http://schemas.microsoft.com/office/drawing/2014/main" id="{0D68FAAF-4D7B-9150-67AA-E209C35F8366}"/>
            </a:ext>
          </a:extLst>
        </xdr:cNvPr>
        <xdr:cNvSpPr txBox="1"/>
      </xdr:nvSpPr>
      <xdr:spPr>
        <a:xfrm>
          <a:off x="1" y="836083"/>
          <a:ext cx="2133599" cy="814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Spending (All Years)</a:t>
          </a:r>
          <a:br>
            <a:rPr lang="en-IN"/>
          </a:br>
          <a:r>
            <a:rPr lang="en-IN"/>
            <a:t>= 26.9M</a:t>
          </a:r>
          <a:endParaRPr lang="en-IN" sz="1100"/>
        </a:p>
      </xdr:txBody>
    </xdr:sp>
    <xdr:clientData/>
  </xdr:twoCellAnchor>
  <xdr:twoCellAnchor>
    <xdr:from>
      <xdr:col>3</xdr:col>
      <xdr:colOff>304801</xdr:colOff>
      <xdr:row>5</xdr:row>
      <xdr:rowOff>14768</xdr:rowOff>
    </xdr:from>
    <xdr:to>
      <xdr:col>6</xdr:col>
      <xdr:colOff>546693</xdr:colOff>
      <xdr:row>10</xdr:row>
      <xdr:rowOff>493</xdr:rowOff>
    </xdr:to>
    <xdr:sp macro="" textlink="">
      <xdr:nvSpPr>
        <xdr:cNvPr id="8" name="TextBox 7">
          <a:extLst>
            <a:ext uri="{FF2B5EF4-FFF2-40B4-BE49-F238E27FC236}">
              <a16:creationId xmlns:a16="http://schemas.microsoft.com/office/drawing/2014/main" id="{9239F910-6BA4-BD62-2F2F-276B0EB6D7D2}"/>
            </a:ext>
          </a:extLst>
        </xdr:cNvPr>
        <xdr:cNvSpPr txBox="1"/>
      </xdr:nvSpPr>
      <xdr:spPr>
        <a:xfrm>
          <a:off x="2133601" y="840268"/>
          <a:ext cx="2070692" cy="811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Peak Year </a:t>
          </a:r>
        </a:p>
        <a:p>
          <a:r>
            <a:rPr lang="en-IN" sz="1100"/>
            <a:t>= 2015–16</a:t>
          </a:r>
        </a:p>
      </xdr:txBody>
    </xdr:sp>
    <xdr:clientData/>
  </xdr:twoCellAnchor>
  <xdr:twoCellAnchor>
    <xdr:from>
      <xdr:col>6</xdr:col>
      <xdr:colOff>498022</xdr:colOff>
      <xdr:row>4</xdr:row>
      <xdr:rowOff>155550</xdr:rowOff>
    </xdr:from>
    <xdr:to>
      <xdr:col>11</xdr:col>
      <xdr:colOff>38099</xdr:colOff>
      <xdr:row>10</xdr:row>
      <xdr:rowOff>3691</xdr:rowOff>
    </xdr:to>
    <xdr:sp macro="" textlink="">
      <xdr:nvSpPr>
        <xdr:cNvPr id="9" name="TextBox 8">
          <a:extLst>
            <a:ext uri="{FF2B5EF4-FFF2-40B4-BE49-F238E27FC236}">
              <a16:creationId xmlns:a16="http://schemas.microsoft.com/office/drawing/2014/main" id="{2D2A10D1-6335-5544-21B4-59247DE14839}"/>
            </a:ext>
          </a:extLst>
        </xdr:cNvPr>
        <xdr:cNvSpPr txBox="1"/>
      </xdr:nvSpPr>
      <xdr:spPr>
        <a:xfrm>
          <a:off x="4155622" y="815950"/>
          <a:ext cx="2588077" cy="83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t> Latest Growth (2015–16 vs 2014–15)</a:t>
          </a:r>
        </a:p>
        <a:p>
          <a:pPr algn="l"/>
          <a:r>
            <a:rPr lang="en-IN" sz="1100" b="1"/>
            <a:t>Healthcare</a:t>
          </a:r>
          <a:r>
            <a:rPr lang="en-IN" sz="1100"/>
            <a:t> = </a:t>
          </a:r>
          <a:r>
            <a:rPr lang="en-IN" sz="1100" b="0" i="0" u="none" strike="noStrike">
              <a:solidFill>
                <a:schemeClr val="dk1"/>
              </a:solidFill>
              <a:effectLst/>
              <a:latin typeface="+mn-lt"/>
              <a:ea typeface="+mn-ea"/>
              <a:cs typeface="+mn-cs"/>
            </a:rPr>
            <a:t>+4.94% ↑</a:t>
          </a:r>
          <a:r>
            <a:rPr lang="en-IN">
              <a:effectLst/>
            </a:rPr>
            <a:t> </a:t>
          </a:r>
          <a:endParaRPr lang="en-IN" sz="1100"/>
        </a:p>
        <a:p>
          <a:r>
            <a:rPr lang="en-IN" sz="1100" b="1"/>
            <a:t>Primary</a:t>
          </a:r>
          <a:r>
            <a:rPr lang="en-IN" sz="1100"/>
            <a:t> = </a:t>
          </a:r>
          <a:r>
            <a:rPr lang="en-IN" sz="1100" b="0" i="0" u="none" strike="noStrike">
              <a:solidFill>
                <a:schemeClr val="dk1"/>
              </a:solidFill>
              <a:effectLst/>
              <a:latin typeface="+mn-lt"/>
              <a:ea typeface="+mn-ea"/>
              <a:cs typeface="+mn-cs"/>
            </a:rPr>
            <a:t>+2.40% ↑</a:t>
          </a:r>
          <a:r>
            <a:rPr lang="en-IN">
              <a:effectLst/>
            </a:rPr>
            <a:t>  </a:t>
          </a:r>
        </a:p>
        <a:p>
          <a:r>
            <a:rPr lang="en-IN" sz="1100" baseline="0"/>
            <a:t> </a:t>
          </a:r>
          <a:r>
            <a:rPr lang="en-IN" sz="1100" b="1"/>
            <a:t>Secondary</a:t>
          </a:r>
          <a:r>
            <a:rPr lang="en-IN" sz="1100"/>
            <a:t> =</a:t>
          </a:r>
          <a:r>
            <a:rPr lang="en-IN" sz="1100" baseline="0"/>
            <a:t> </a:t>
          </a:r>
          <a:r>
            <a:rPr lang="en-IN" sz="1100" b="0" i="0" u="none" strike="noStrike">
              <a:solidFill>
                <a:schemeClr val="dk1"/>
              </a:solidFill>
              <a:effectLst/>
              <a:latin typeface="+mn-lt"/>
              <a:ea typeface="+mn-ea"/>
              <a:cs typeface="+mn-cs"/>
            </a:rPr>
            <a:t>-3.11% ↓</a:t>
          </a:r>
          <a:r>
            <a:rPr lang="en-IN">
              <a:effectLst/>
            </a:rPr>
            <a:t> </a:t>
          </a:r>
          <a:endParaRPr lang="en-IN" sz="1100"/>
        </a:p>
      </xdr:txBody>
    </xdr:sp>
    <xdr:clientData/>
  </xdr:twoCellAnchor>
  <xdr:twoCellAnchor>
    <xdr:from>
      <xdr:col>0</xdr:col>
      <xdr:colOff>0</xdr:colOff>
      <xdr:row>24</xdr:row>
      <xdr:rowOff>42333</xdr:rowOff>
    </xdr:from>
    <xdr:to>
      <xdr:col>14</xdr:col>
      <xdr:colOff>381000</xdr:colOff>
      <xdr:row>40</xdr:row>
      <xdr:rowOff>21166</xdr:rowOff>
    </xdr:to>
    <xdr:graphicFrame macro="">
      <xdr:nvGraphicFramePr>
        <xdr:cNvPr id="11" name="Chart 10">
          <a:extLst>
            <a:ext uri="{FF2B5EF4-FFF2-40B4-BE49-F238E27FC236}">
              <a16:creationId xmlns:a16="http://schemas.microsoft.com/office/drawing/2014/main" id="{B7A0BBF9-0631-C458-B627-FBF4C150D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317500</xdr:colOff>
      <xdr:row>9</xdr:row>
      <xdr:rowOff>140784</xdr:rowOff>
    </xdr:from>
    <xdr:to>
      <xdr:col>14</xdr:col>
      <xdr:colOff>369482</xdr:colOff>
      <xdr:row>24</xdr:row>
      <xdr:rowOff>25400</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61540F9C-1310-4E27-ADF1-B28EB65500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632700" y="1626684"/>
              <a:ext cx="1271182" cy="2361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142924</xdr:rowOff>
    </xdr:from>
    <xdr:to>
      <xdr:col>12</xdr:col>
      <xdr:colOff>304800</xdr:colOff>
      <xdr:row>24</xdr:row>
      <xdr:rowOff>48733</xdr:rowOff>
    </xdr:to>
    <xdr:graphicFrame macro="">
      <xdr:nvGraphicFramePr>
        <xdr:cNvPr id="13" name="Chart 12">
          <a:extLst>
            <a:ext uri="{FF2B5EF4-FFF2-40B4-BE49-F238E27FC236}">
              <a16:creationId xmlns:a16="http://schemas.microsoft.com/office/drawing/2014/main" id="{6B5EA75C-BF5D-929E-E134-279D5C6C5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xdr:colOff>
      <xdr:row>5</xdr:row>
      <xdr:rowOff>9452</xdr:rowOff>
    </xdr:from>
    <xdr:to>
      <xdr:col>14</xdr:col>
      <xdr:colOff>399461</xdr:colOff>
      <xdr:row>9</xdr:row>
      <xdr:rowOff>123372</xdr:rowOff>
    </xdr:to>
    <xdr:sp macro="" textlink="">
      <xdr:nvSpPr>
        <xdr:cNvPr id="14" name="TextBox 13">
          <a:extLst>
            <a:ext uri="{FF2B5EF4-FFF2-40B4-BE49-F238E27FC236}">
              <a16:creationId xmlns:a16="http://schemas.microsoft.com/office/drawing/2014/main" id="{DED456CB-66BF-3F3D-223F-1293D1794331}"/>
            </a:ext>
          </a:extLst>
        </xdr:cNvPr>
        <xdr:cNvSpPr txBox="1"/>
      </xdr:nvSpPr>
      <xdr:spPr>
        <a:xfrm>
          <a:off x="6731000" y="834952"/>
          <a:ext cx="2202861" cy="7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Top Growth Sector:</a:t>
          </a:r>
        </a:p>
        <a:p>
          <a:r>
            <a:rPr lang="en-IN" sz="1100"/>
            <a:t>Primary Education (+17% overall)</a:t>
          </a:r>
        </a:p>
      </xdr:txBody>
    </xdr:sp>
    <xdr:clientData/>
  </xdr:twoCellAnchor>
  <xdr:twoCellAnchor>
    <xdr:from>
      <xdr:col>0</xdr:col>
      <xdr:colOff>21167</xdr:colOff>
      <xdr:row>0</xdr:row>
      <xdr:rowOff>0</xdr:rowOff>
    </xdr:from>
    <xdr:to>
      <xdr:col>14</xdr:col>
      <xdr:colOff>406400</xdr:colOff>
      <xdr:row>5</xdr:row>
      <xdr:rowOff>10583</xdr:rowOff>
    </xdr:to>
    <xdr:sp macro="" textlink="">
      <xdr:nvSpPr>
        <xdr:cNvPr id="15" name="TextBox 14">
          <a:extLst>
            <a:ext uri="{FF2B5EF4-FFF2-40B4-BE49-F238E27FC236}">
              <a16:creationId xmlns:a16="http://schemas.microsoft.com/office/drawing/2014/main" id="{DA491BA6-FABC-6F01-1AC0-93BB68188B18}"/>
            </a:ext>
          </a:extLst>
        </xdr:cNvPr>
        <xdr:cNvSpPr txBox="1"/>
      </xdr:nvSpPr>
      <xdr:spPr>
        <a:xfrm>
          <a:off x="21167" y="0"/>
          <a:ext cx="8919633" cy="836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mn-lt"/>
            </a:rPr>
            <a:t>South Australia Government Spending Analysis Dashboard (2012–2016)</a:t>
          </a:r>
        </a:p>
      </xdr:txBody>
    </xdr:sp>
    <xdr:clientData/>
  </xdr:twoCellAnchor>
  <xdr:twoCellAnchor>
    <xdr:from>
      <xdr:col>0</xdr:col>
      <xdr:colOff>31748</xdr:colOff>
      <xdr:row>40</xdr:row>
      <xdr:rowOff>22151</xdr:rowOff>
    </xdr:from>
    <xdr:to>
      <xdr:col>14</xdr:col>
      <xdr:colOff>368299</xdr:colOff>
      <xdr:row>42</xdr:row>
      <xdr:rowOff>50800</xdr:rowOff>
    </xdr:to>
    <xdr:sp macro="" textlink="">
      <xdr:nvSpPr>
        <xdr:cNvPr id="16" name="TextBox 15">
          <a:extLst>
            <a:ext uri="{FF2B5EF4-FFF2-40B4-BE49-F238E27FC236}">
              <a16:creationId xmlns:a16="http://schemas.microsoft.com/office/drawing/2014/main" id="{81DA1214-37AE-00B6-22EB-9572005851BF}"/>
            </a:ext>
          </a:extLst>
        </xdr:cNvPr>
        <xdr:cNvSpPr txBox="1"/>
      </xdr:nvSpPr>
      <xdr:spPr>
        <a:xfrm>
          <a:off x="31748" y="6626151"/>
          <a:ext cx="8870951" cy="358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Source: South Australia Public Expenditure 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7.417156481482" createdVersion="8" refreshedVersion="8" minRefreshableVersion="3" recordCount="277" xr:uid="{845C58F3-6A94-48E6-A275-A36843DB482A}">
  <cacheSource type="worksheet">
    <worksheetSource ref="A1:C1048576" sheet="COMBINED_DATA"/>
  </cacheSource>
  <cacheFields count="3">
    <cacheField name="year" numFmtId="0">
      <sharedItems containsBlank="1" count="5">
        <s v="2012-13'"/>
        <s v="2013-14'"/>
        <s v="2014-15'"/>
        <s v="2015-16'"/>
        <m/>
      </sharedItems>
    </cacheField>
    <cacheField name="sector" numFmtId="0">
      <sharedItems containsBlank="1" count="71">
        <s v="Other general public services"/>
        <s v="Police services"/>
        <s v="Fire protection services"/>
        <s v="Law courts and legal services"/>
        <s v="Prisons and corrective services"/>
        <s v="Other public order and safety"/>
        <s v="Primary education"/>
        <s v="Secondary education"/>
        <s v="Primary and secondary education n.e.c."/>
        <s v="University education"/>
        <s v="Technical and further education"/>
        <s v="Tertiary education n.e.c."/>
        <s v="Pre-school education and education not definable by level"/>
        <s v="Special education"/>
        <s v="Other education not definable by level"/>
        <s v="Transportation of other students"/>
        <s v="Education n.e.c."/>
        <s v="Admitted patients in acute care institutions"/>
        <s v="Community mental health services"/>
        <s v="Patient transport"/>
        <s v="Other community helath services"/>
        <s v="Public health services"/>
        <s v="Pharmaceuticals, medical aids and appliances"/>
        <s v="Health research"/>
        <s v="Health administration n.e.c."/>
        <s v="Social security"/>
        <s v="Family and child welfare services"/>
        <s v="Welfare services for the aged"/>
        <s v="Welfare services for people with a disability"/>
        <s v="Welfare services n.e.c."/>
        <s v="Social security and welfare services n.e.c."/>
        <s v="Housing"/>
        <s v="Aboriginal community development"/>
        <s v="Other community development"/>
        <s v="Other water supply"/>
        <s v="Other sanitation and protection of the environment n.e.c."/>
        <s v="Aboriginal community amenities"/>
        <s v="National parks and wildlife"/>
        <s v="Recreation facilities and services n.e.c."/>
        <s v="Cultural facilities and services"/>
        <s v="Broadcasting and film production"/>
        <s v="Recreation and culture n.e.c."/>
        <s v="Fuel affairs and services n.e.c."/>
        <s v="Other electricity"/>
        <s v="Fuel and energy n.e.c."/>
        <s v="Agriculture"/>
        <s v="Forestry, fishing and hunting"/>
        <s v="Mining and mineral resources other than fuels"/>
        <s v="Construction"/>
        <s v="Road maintenance"/>
        <s v="Road transport n.e.c."/>
        <s v="Non urban water transport services"/>
        <s v="Urban rail transport services"/>
        <s v="Multi-mode urban transport"/>
        <s v="Other transport n.e.c."/>
        <s v="Communications"/>
        <s v="Tourism and area promotion"/>
        <s v="Other labour and employment affairs"/>
        <s v="Other economic affairs n.e.c."/>
        <s v="Public debt transactions"/>
        <s v="General Purpose inter-government transactions"/>
        <s v="Natural disaster relief"/>
        <s v="Other purposes n.e.c."/>
        <s v="Nominal superannuation interest expense"/>
        <s v="Non-admitted patients in acute care institutions"/>
        <s v="Mental Health Institutions"/>
        <s v="Nursing homes for the aged"/>
        <s v="Aboriginal community electricity services"/>
        <s v="Other energy"/>
        <s v="Other air transport services"/>
        <m/>
      </sharedItems>
    </cacheField>
    <cacheField name="Total spending" numFmtId="0">
      <sharedItems containsString="0" containsBlank="1" containsNumber="1" minValue="-1233.2268393507654" maxValue="4396326.9180734595"/>
    </cacheField>
  </cacheFields>
  <extLst>
    <ext xmlns:x14="http://schemas.microsoft.com/office/spreadsheetml/2009/9/main" uri="{725AE2AE-9491-48be-B2B4-4EB974FC3084}">
      <x14:pivotCacheDefinition pivotCacheId="2059315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x v="0"/>
    <x v="0"/>
    <n v="318326"/>
  </r>
  <r>
    <x v="0"/>
    <x v="1"/>
    <n v="739008"/>
  </r>
  <r>
    <x v="0"/>
    <x v="2"/>
    <n v="183523"/>
  </r>
  <r>
    <x v="0"/>
    <x v="3"/>
    <n v="276008.99999999994"/>
  </r>
  <r>
    <x v="0"/>
    <x v="4"/>
    <n v="257684"/>
  </r>
  <r>
    <x v="0"/>
    <x v="5"/>
    <n v="67240"/>
  </r>
  <r>
    <x v="0"/>
    <x v="6"/>
    <n v="1339131.2960000001"/>
  </r>
  <r>
    <x v="0"/>
    <x v="7"/>
    <n v="1080625.2007999998"/>
  </r>
  <r>
    <x v="0"/>
    <x v="8"/>
    <n v="861399"/>
  </r>
  <r>
    <x v="0"/>
    <x v="9"/>
    <n v="7952"/>
  </r>
  <r>
    <x v="0"/>
    <x v="10"/>
    <n v="506980"/>
  </r>
  <r>
    <x v="0"/>
    <x v="11"/>
    <n v="47912"/>
  </r>
  <r>
    <x v="0"/>
    <x v="12"/>
    <n v="188910.91680000001"/>
  </r>
  <r>
    <x v="0"/>
    <x v="13"/>
    <n v="5892"/>
  </r>
  <r>
    <x v="0"/>
    <x v="14"/>
    <n v="27818"/>
  </r>
  <r>
    <x v="0"/>
    <x v="15"/>
    <n v="25214"/>
  </r>
  <r>
    <x v="0"/>
    <x v="16"/>
    <n v="2709"/>
  </r>
  <r>
    <x v="0"/>
    <x v="17"/>
    <n v="4396326.9180734595"/>
  </r>
  <r>
    <x v="0"/>
    <x v="18"/>
    <n v="18706.320430201635"/>
  </r>
  <r>
    <x v="0"/>
    <x v="19"/>
    <n v="194862.11269363374"/>
  </r>
  <r>
    <x v="0"/>
    <x v="20"/>
    <n v="117401.53785479492"/>
  </r>
  <r>
    <x v="0"/>
    <x v="21"/>
    <n v="154825.98642395809"/>
  </r>
  <r>
    <x v="0"/>
    <x v="22"/>
    <n v="13208.99884175825"/>
  </r>
  <r>
    <x v="0"/>
    <x v="23"/>
    <n v="29586.997405640195"/>
  </r>
  <r>
    <x v="0"/>
    <x v="24"/>
    <n v="161696.98582146893"/>
  </r>
  <r>
    <x v="0"/>
    <x v="25"/>
    <n v="119256"/>
  </r>
  <r>
    <x v="0"/>
    <x v="26"/>
    <n v="312567"/>
  </r>
  <r>
    <x v="0"/>
    <x v="27"/>
    <n v="125890.00000000003"/>
  </r>
  <r>
    <x v="0"/>
    <x v="28"/>
    <n v="404574"/>
  </r>
  <r>
    <x v="0"/>
    <x v="29"/>
    <n v="52537.999999999993"/>
  </r>
  <r>
    <x v="0"/>
    <x v="30"/>
    <n v="115884"/>
  </r>
  <r>
    <x v="0"/>
    <x v="31"/>
    <n v="492789"/>
  </r>
  <r>
    <x v="0"/>
    <x v="32"/>
    <n v="1809"/>
  </r>
  <r>
    <x v="0"/>
    <x v="33"/>
    <n v="45516"/>
  </r>
  <r>
    <x v="0"/>
    <x v="34"/>
    <n v="273856"/>
  </r>
  <r>
    <x v="0"/>
    <x v="35"/>
    <n v="245014"/>
  </r>
  <r>
    <x v="0"/>
    <x v="36"/>
    <n v="8476"/>
  </r>
  <r>
    <x v="0"/>
    <x v="34"/>
    <n v="722"/>
  </r>
  <r>
    <x v="0"/>
    <x v="37"/>
    <n v="127892"/>
  </r>
  <r>
    <x v="0"/>
    <x v="38"/>
    <n v="66989"/>
  </r>
  <r>
    <x v="0"/>
    <x v="39"/>
    <n v="179219.4"/>
  </r>
  <r>
    <x v="0"/>
    <x v="40"/>
    <n v="8389"/>
  </r>
  <r>
    <x v="0"/>
    <x v="41"/>
    <n v="7193"/>
  </r>
  <r>
    <x v="0"/>
    <x v="42"/>
    <n v="10773"/>
  </r>
  <r>
    <x v="0"/>
    <x v="43"/>
    <n v="500"/>
  </r>
  <r>
    <x v="0"/>
    <x v="44"/>
    <n v="41534"/>
  </r>
  <r>
    <x v="0"/>
    <x v="45"/>
    <n v="130741"/>
  </r>
  <r>
    <x v="0"/>
    <x v="46"/>
    <n v="25276"/>
  </r>
  <r>
    <x v="0"/>
    <x v="47"/>
    <n v="41155"/>
  </r>
  <r>
    <x v="0"/>
    <x v="48"/>
    <n v="18546"/>
  </r>
  <r>
    <x v="0"/>
    <x v="49"/>
    <n v="348941"/>
  </r>
  <r>
    <x v="0"/>
    <x v="50"/>
    <n v="44859"/>
  </r>
  <r>
    <x v="0"/>
    <x v="51"/>
    <n v="25089"/>
  </r>
  <r>
    <x v="0"/>
    <x v="52"/>
    <n v="56928"/>
  </r>
  <r>
    <x v="0"/>
    <x v="53"/>
    <n v="431390"/>
  </r>
  <r>
    <x v="0"/>
    <x v="54"/>
    <n v="72139"/>
  </r>
  <r>
    <x v="0"/>
    <x v="55"/>
    <n v="27772"/>
  </r>
  <r>
    <x v="0"/>
    <x v="56"/>
    <n v="62747"/>
  </r>
  <r>
    <x v="0"/>
    <x v="57"/>
    <n v="63743"/>
  </r>
  <r>
    <x v="0"/>
    <x v="58"/>
    <n v="104428"/>
  </r>
  <r>
    <x v="0"/>
    <x v="59"/>
    <n v="393009"/>
  </r>
  <r>
    <x v="0"/>
    <x v="60"/>
    <n v="127025"/>
  </r>
  <r>
    <x v="0"/>
    <x v="61"/>
    <n v="6278"/>
  </r>
  <r>
    <x v="0"/>
    <x v="62"/>
    <n v="323478"/>
  </r>
  <r>
    <x v="0"/>
    <x v="63"/>
    <n v="313800"/>
  </r>
  <r>
    <x v="1"/>
    <x v="0"/>
    <n v="347704"/>
  </r>
  <r>
    <x v="1"/>
    <x v="1"/>
    <n v="745679"/>
  </r>
  <r>
    <x v="1"/>
    <x v="2"/>
    <n v="193267"/>
  </r>
  <r>
    <x v="1"/>
    <x v="3"/>
    <n v="277149"/>
  </r>
  <r>
    <x v="1"/>
    <x v="4"/>
    <n v="271504"/>
  </r>
  <r>
    <x v="1"/>
    <x v="5"/>
    <n v="69825"/>
  </r>
  <r>
    <x v="1"/>
    <x v="6"/>
    <n v="1499914.476"/>
  </r>
  <r>
    <x v="1"/>
    <x v="7"/>
    <n v="1037208.56"/>
  </r>
  <r>
    <x v="1"/>
    <x v="8"/>
    <n v="883745"/>
  </r>
  <r>
    <x v="1"/>
    <x v="9"/>
    <n v="1540"/>
  </r>
  <r>
    <x v="1"/>
    <x v="10"/>
    <n v="535633"/>
  </r>
  <r>
    <x v="1"/>
    <x v="11"/>
    <n v="60625"/>
  </r>
  <r>
    <x v="1"/>
    <x v="12"/>
    <n v="185369.96400000001"/>
  </r>
  <r>
    <x v="1"/>
    <x v="13"/>
    <n v="27916"/>
  </r>
  <r>
    <x v="1"/>
    <x v="14"/>
    <n v="16688"/>
  </r>
  <r>
    <x v="1"/>
    <x v="15"/>
    <n v="26562"/>
  </r>
  <r>
    <x v="1"/>
    <x v="16"/>
    <n v="2748"/>
  </r>
  <r>
    <x v="1"/>
    <x v="17"/>
    <n v="3985403"/>
  </r>
  <r>
    <x v="1"/>
    <x v="64"/>
    <n v="418401"/>
  </r>
  <r>
    <x v="1"/>
    <x v="65"/>
    <n v="0"/>
  </r>
  <r>
    <x v="1"/>
    <x v="66"/>
    <n v="0"/>
  </r>
  <r>
    <x v="1"/>
    <x v="18"/>
    <n v="20635"/>
  </r>
  <r>
    <x v="1"/>
    <x v="19"/>
    <n v="214953"/>
  </r>
  <r>
    <x v="1"/>
    <x v="20"/>
    <n v="129506"/>
  </r>
  <r>
    <x v="1"/>
    <x v="21"/>
    <n v="151132"/>
  </r>
  <r>
    <x v="1"/>
    <x v="22"/>
    <n v="12674"/>
  </r>
  <r>
    <x v="1"/>
    <x v="23"/>
    <n v="9254"/>
  </r>
  <r>
    <x v="1"/>
    <x v="24"/>
    <n v="129402"/>
  </r>
  <r>
    <x v="1"/>
    <x v="25"/>
    <n v="118889"/>
  </r>
  <r>
    <x v="1"/>
    <x v="26"/>
    <n v="315876"/>
  </r>
  <r>
    <x v="1"/>
    <x v="27"/>
    <n v="173717"/>
  </r>
  <r>
    <x v="1"/>
    <x v="28"/>
    <n v="575593"/>
  </r>
  <r>
    <x v="1"/>
    <x v="29"/>
    <n v="95440"/>
  </r>
  <r>
    <x v="1"/>
    <x v="30"/>
    <n v="18265"/>
  </r>
  <r>
    <x v="1"/>
    <x v="31"/>
    <n v="475736"/>
  </r>
  <r>
    <x v="1"/>
    <x v="32"/>
    <n v="17146"/>
  </r>
  <r>
    <x v="1"/>
    <x v="33"/>
    <n v="87672"/>
  </r>
  <r>
    <x v="1"/>
    <x v="34"/>
    <n v="237061"/>
  </r>
  <r>
    <x v="1"/>
    <x v="35"/>
    <n v="276040"/>
  </r>
  <r>
    <x v="1"/>
    <x v="36"/>
    <n v="-58"/>
  </r>
  <r>
    <x v="1"/>
    <x v="34"/>
    <n v="551"/>
  </r>
  <r>
    <x v="1"/>
    <x v="37"/>
    <n v="47406"/>
  </r>
  <r>
    <x v="1"/>
    <x v="38"/>
    <n v="96253"/>
  </r>
  <r>
    <x v="1"/>
    <x v="39"/>
    <n v="183375"/>
  </r>
  <r>
    <x v="1"/>
    <x v="40"/>
    <n v="7854"/>
  </r>
  <r>
    <x v="1"/>
    <x v="41"/>
    <n v="8646"/>
  </r>
  <r>
    <x v="1"/>
    <x v="42"/>
    <n v="10734"/>
  </r>
  <r>
    <x v="1"/>
    <x v="67"/>
    <n v="13508"/>
  </r>
  <r>
    <x v="1"/>
    <x v="43"/>
    <n v="8398"/>
  </r>
  <r>
    <x v="1"/>
    <x v="68"/>
    <n v="754"/>
  </r>
  <r>
    <x v="1"/>
    <x v="44"/>
    <n v="15708"/>
  </r>
  <r>
    <x v="1"/>
    <x v="45"/>
    <n v="130345"/>
  </r>
  <r>
    <x v="1"/>
    <x v="46"/>
    <n v="76602"/>
  </r>
  <r>
    <x v="1"/>
    <x v="47"/>
    <n v="42575"/>
  </r>
  <r>
    <x v="1"/>
    <x v="48"/>
    <n v="15482.000000000029"/>
  </r>
  <r>
    <x v="1"/>
    <x v="49"/>
    <n v="395551"/>
  </r>
  <r>
    <x v="1"/>
    <x v="50"/>
    <n v="40812"/>
  </r>
  <r>
    <x v="1"/>
    <x v="51"/>
    <n v="24150"/>
  </r>
  <r>
    <x v="1"/>
    <x v="52"/>
    <n v="58933"/>
  </r>
  <r>
    <x v="1"/>
    <x v="53"/>
    <n v="446561"/>
  </r>
  <r>
    <x v="1"/>
    <x v="54"/>
    <n v="8009"/>
  </r>
  <r>
    <x v="1"/>
    <x v="55"/>
    <n v="42633"/>
  </r>
  <r>
    <x v="1"/>
    <x v="56"/>
    <n v="63639"/>
  </r>
  <r>
    <x v="1"/>
    <x v="57"/>
    <n v="63211"/>
  </r>
  <r>
    <x v="1"/>
    <x v="58"/>
    <n v="115150"/>
  </r>
  <r>
    <x v="1"/>
    <x v="59"/>
    <n v="299856"/>
  </r>
  <r>
    <x v="1"/>
    <x v="60"/>
    <n v="55087"/>
  </r>
  <r>
    <x v="1"/>
    <x v="61"/>
    <n v="847"/>
  </r>
  <r>
    <x v="1"/>
    <x v="62"/>
    <n v="28647"/>
  </r>
  <r>
    <x v="1"/>
    <x v="63"/>
    <n v="467700"/>
  </r>
  <r>
    <x v="2"/>
    <x v="0"/>
    <n v="342146.40784538002"/>
  </r>
  <r>
    <x v="2"/>
    <x v="1"/>
    <n v="788151"/>
  </r>
  <r>
    <x v="2"/>
    <x v="2"/>
    <n v="200348"/>
  </r>
  <r>
    <x v="2"/>
    <x v="3"/>
    <n v="317165.68107206991"/>
  </r>
  <r>
    <x v="2"/>
    <x v="4"/>
    <n v="287271.89160768816"/>
  </r>
  <r>
    <x v="2"/>
    <x v="5"/>
    <n v="84217"/>
  </r>
  <r>
    <x v="2"/>
    <x v="6"/>
    <n v="1531264.7238596901"/>
  </r>
  <r>
    <x v="2"/>
    <x v="7"/>
    <n v="1040869.8860705686"/>
  </r>
  <r>
    <x v="2"/>
    <x v="8"/>
    <n v="904425"/>
  </r>
  <r>
    <x v="2"/>
    <x v="9"/>
    <n v="0"/>
  </r>
  <r>
    <x v="2"/>
    <x v="10"/>
    <n v="477741"/>
  </r>
  <r>
    <x v="2"/>
    <x v="11"/>
    <n v="36814"/>
  </r>
  <r>
    <x v="2"/>
    <x v="12"/>
    <n v="210988.39006974112"/>
  </r>
  <r>
    <x v="2"/>
    <x v="13"/>
    <n v="31021"/>
  </r>
  <r>
    <x v="2"/>
    <x v="14"/>
    <n v="23123"/>
  </r>
  <r>
    <x v="2"/>
    <x v="15"/>
    <n v="28639"/>
  </r>
  <r>
    <x v="2"/>
    <x v="16"/>
    <n v="2759"/>
  </r>
  <r>
    <x v="2"/>
    <x v="17"/>
    <n v="4138969.0344418604"/>
  </r>
  <r>
    <x v="2"/>
    <x v="64"/>
    <n v="417104"/>
  </r>
  <r>
    <x v="2"/>
    <x v="65"/>
    <n v="0"/>
  </r>
  <r>
    <x v="2"/>
    <x v="66"/>
    <n v="0"/>
  </r>
  <r>
    <x v="2"/>
    <x v="18"/>
    <n v="20593.862021646986"/>
  </r>
  <r>
    <x v="2"/>
    <x v="19"/>
    <n v="234776.46191272995"/>
  </r>
  <r>
    <x v="2"/>
    <x v="20"/>
    <n v="173850.01517588354"/>
  </r>
  <r>
    <x v="2"/>
    <x v="21"/>
    <n v="160725.73005880081"/>
  </r>
  <r>
    <x v="2"/>
    <x v="22"/>
    <n v="10399.048327512326"/>
  </r>
  <r>
    <x v="2"/>
    <x v="23"/>
    <n v="11107.496140413059"/>
  </r>
  <r>
    <x v="2"/>
    <x v="24"/>
    <n v="156391.67915823052"/>
  </r>
  <r>
    <x v="2"/>
    <x v="25"/>
    <n v="120200"/>
  </r>
  <r>
    <x v="2"/>
    <x v="26"/>
    <n v="349239.37976094463"/>
  </r>
  <r>
    <x v="2"/>
    <x v="27"/>
    <n v="85392.582455630501"/>
  </r>
  <r>
    <x v="2"/>
    <x v="28"/>
    <n v="629247.70978151541"/>
  </r>
  <r>
    <x v="2"/>
    <x v="29"/>
    <n v="138654.762045854"/>
  </r>
  <r>
    <x v="2"/>
    <x v="30"/>
    <n v="18091"/>
  </r>
  <r>
    <x v="2"/>
    <x v="31"/>
    <n v="414662.83356562268"/>
  </r>
  <r>
    <x v="2"/>
    <x v="32"/>
    <n v="14379.606169463787"/>
  </r>
  <r>
    <x v="2"/>
    <x v="33"/>
    <n v="99216.452013493064"/>
  </r>
  <r>
    <x v="2"/>
    <x v="34"/>
    <n v="214227.05342731049"/>
  </r>
  <r>
    <x v="2"/>
    <x v="35"/>
    <n v="306802.42843461561"/>
  </r>
  <r>
    <x v="2"/>
    <x v="36"/>
    <n v="0"/>
  </r>
  <r>
    <x v="2"/>
    <x v="34"/>
    <n v="570.94699124104204"/>
  </r>
  <r>
    <x v="2"/>
    <x v="37"/>
    <n v="23775.199858346106"/>
  </r>
  <r>
    <x v="2"/>
    <x v="38"/>
    <n v="96602.711478516008"/>
  </r>
  <r>
    <x v="2"/>
    <x v="39"/>
    <n v="201139.36578233677"/>
  </r>
  <r>
    <x v="2"/>
    <x v="40"/>
    <n v="6472"/>
  </r>
  <r>
    <x v="2"/>
    <x v="41"/>
    <n v="4777.775496370672"/>
  </r>
  <r>
    <x v="2"/>
    <x v="42"/>
    <n v="10980.219317969815"/>
  </r>
  <r>
    <x v="2"/>
    <x v="67"/>
    <n v="-1233.2268393507654"/>
  </r>
  <r>
    <x v="2"/>
    <x v="43"/>
    <n v="2979.3996936461026"/>
  </r>
  <r>
    <x v="2"/>
    <x v="68"/>
    <n v="586.9920760386085"/>
  </r>
  <r>
    <x v="2"/>
    <x v="44"/>
    <n v="13540.642989699832"/>
  </r>
  <r>
    <x v="2"/>
    <x v="45"/>
    <n v="131994.67986982685"/>
  </r>
  <r>
    <x v="2"/>
    <x v="46"/>
    <n v="31371.909854494548"/>
  </r>
  <r>
    <x v="2"/>
    <x v="47"/>
    <n v="45033.389128364244"/>
  </r>
  <r>
    <x v="2"/>
    <x v="48"/>
    <n v="21346.90898960951"/>
  </r>
  <r>
    <x v="2"/>
    <x v="49"/>
    <n v="323448.12654047413"/>
  </r>
  <r>
    <x v="2"/>
    <x v="50"/>
    <n v="104020.75126423419"/>
  </r>
  <r>
    <x v="2"/>
    <x v="51"/>
    <n v="11739.207835867874"/>
  </r>
  <r>
    <x v="2"/>
    <x v="52"/>
    <n v="41596.057960097278"/>
  </r>
  <r>
    <x v="2"/>
    <x v="53"/>
    <n v="447695.7743882612"/>
  </r>
  <r>
    <x v="2"/>
    <x v="54"/>
    <n v="33034"/>
  </r>
  <r>
    <x v="2"/>
    <x v="55"/>
    <n v="14749"/>
  </r>
  <r>
    <x v="2"/>
    <x v="56"/>
    <n v="65885"/>
  </r>
  <r>
    <x v="2"/>
    <x v="57"/>
    <n v="63520.345353202138"/>
  </r>
  <r>
    <x v="2"/>
    <x v="58"/>
    <n v="114290.50720589161"/>
  </r>
  <r>
    <x v="2"/>
    <x v="59"/>
    <n v="253535"/>
  </r>
  <r>
    <x v="2"/>
    <x v="60"/>
    <n v="208786"/>
  </r>
  <r>
    <x v="2"/>
    <x v="61"/>
    <n v="4377"/>
  </r>
  <r>
    <x v="2"/>
    <x v="62"/>
    <n v="2915.9993481970178"/>
  </r>
  <r>
    <x v="2"/>
    <x v="63"/>
    <n v="437500"/>
  </r>
  <r>
    <x v="3"/>
    <x v="0"/>
    <n v="326504"/>
  </r>
  <r>
    <x v="3"/>
    <x v="1"/>
    <n v="797177"/>
  </r>
  <r>
    <x v="3"/>
    <x v="2"/>
    <n v="226062"/>
  </r>
  <r>
    <x v="3"/>
    <x v="3"/>
    <n v="328349"/>
  </r>
  <r>
    <x v="3"/>
    <x v="4"/>
    <n v="323823"/>
  </r>
  <r>
    <x v="3"/>
    <x v="5"/>
    <n v="78877"/>
  </r>
  <r>
    <x v="3"/>
    <x v="6"/>
    <n v="1568076"/>
  </r>
  <r>
    <x v="3"/>
    <x v="7"/>
    <n v="1008528"/>
  </r>
  <r>
    <x v="3"/>
    <x v="8"/>
    <n v="996825"/>
  </r>
  <r>
    <x v="3"/>
    <x v="9"/>
    <n v="0"/>
  </r>
  <r>
    <x v="3"/>
    <x v="10"/>
    <n v="485746"/>
  </r>
  <r>
    <x v="3"/>
    <x v="11"/>
    <n v="30289"/>
  </r>
  <r>
    <x v="3"/>
    <x v="12"/>
    <n v="200375"/>
  </r>
  <r>
    <x v="3"/>
    <x v="13"/>
    <n v="31"/>
  </r>
  <r>
    <x v="3"/>
    <x v="14"/>
    <n v="4758"/>
  </r>
  <r>
    <x v="3"/>
    <x v="15"/>
    <n v="54690"/>
  </r>
  <r>
    <x v="3"/>
    <x v="16"/>
    <n v="3351"/>
  </r>
  <r>
    <x v="3"/>
    <x v="17"/>
    <n v="4343640"/>
  </r>
  <r>
    <x v="3"/>
    <x v="64"/>
    <n v="414619"/>
  </r>
  <r>
    <x v="3"/>
    <x v="65"/>
    <n v="0"/>
  </r>
  <r>
    <x v="3"/>
    <x v="66"/>
    <n v="0"/>
  </r>
  <r>
    <x v="3"/>
    <x v="18"/>
    <n v="50032"/>
  </r>
  <r>
    <x v="3"/>
    <x v="19"/>
    <n v="237061.00648269444"/>
  </r>
  <r>
    <x v="3"/>
    <x v="20"/>
    <n v="173553.6"/>
  </r>
  <r>
    <x v="3"/>
    <x v="21"/>
    <n v="126832.8"/>
  </r>
  <r>
    <x v="3"/>
    <x v="22"/>
    <n v="16212.2"/>
  </r>
  <r>
    <x v="3"/>
    <x v="23"/>
    <n v="12513.2"/>
  </r>
  <r>
    <x v="3"/>
    <x v="24"/>
    <n v="154928.24996468288"/>
  </r>
  <r>
    <x v="3"/>
    <x v="25"/>
    <n v="123162"/>
  </r>
  <r>
    <x v="3"/>
    <x v="26"/>
    <n v="434859"/>
  </r>
  <r>
    <x v="3"/>
    <x v="27"/>
    <n v="99080"/>
  </r>
  <r>
    <x v="3"/>
    <x v="28"/>
    <n v="690187"/>
  </r>
  <r>
    <x v="3"/>
    <x v="29"/>
    <n v="134202"/>
  </r>
  <r>
    <x v="3"/>
    <x v="30"/>
    <n v="19563"/>
  </r>
  <r>
    <x v="3"/>
    <x v="31"/>
    <n v="348774"/>
  </r>
  <r>
    <x v="3"/>
    <x v="32"/>
    <n v="9684"/>
  </r>
  <r>
    <x v="3"/>
    <x v="33"/>
    <n v="97634"/>
  </r>
  <r>
    <x v="3"/>
    <x v="34"/>
    <n v="160879"/>
  </r>
  <r>
    <x v="3"/>
    <x v="35"/>
    <n v="337126"/>
  </r>
  <r>
    <x v="3"/>
    <x v="36"/>
    <n v="0"/>
  </r>
  <r>
    <x v="3"/>
    <x v="34"/>
    <n v="1"/>
  </r>
  <r>
    <x v="3"/>
    <x v="37"/>
    <n v="68185"/>
  </r>
  <r>
    <x v="3"/>
    <x v="38"/>
    <n v="108412"/>
  </r>
  <r>
    <x v="3"/>
    <x v="39"/>
    <n v="205210"/>
  </r>
  <r>
    <x v="3"/>
    <x v="40"/>
    <n v="7227"/>
  </r>
  <r>
    <x v="3"/>
    <x v="41"/>
    <n v="10206"/>
  </r>
  <r>
    <x v="3"/>
    <x v="42"/>
    <n v="15338"/>
  </r>
  <r>
    <x v="3"/>
    <x v="67"/>
    <n v="0"/>
  </r>
  <r>
    <x v="3"/>
    <x v="43"/>
    <n v="2774"/>
  </r>
  <r>
    <x v="3"/>
    <x v="68"/>
    <n v="540"/>
  </r>
  <r>
    <x v="3"/>
    <x v="44"/>
    <n v="13454"/>
  </r>
  <r>
    <x v="3"/>
    <x v="45"/>
    <n v="141795"/>
  </r>
  <r>
    <x v="3"/>
    <x v="46"/>
    <n v="27456"/>
  </r>
  <r>
    <x v="3"/>
    <x v="47"/>
    <n v="41432"/>
  </r>
  <r>
    <x v="3"/>
    <x v="48"/>
    <n v="11448"/>
  </r>
  <r>
    <x v="3"/>
    <x v="49"/>
    <n v="347207.32318591117"/>
  </r>
  <r>
    <x v="3"/>
    <x v="50"/>
    <n v="85325.080805096906"/>
  </r>
  <r>
    <x v="3"/>
    <x v="51"/>
    <n v="18608"/>
  </r>
  <r>
    <x v="3"/>
    <x v="52"/>
    <n v="45042.287554282346"/>
  </r>
  <r>
    <x v="3"/>
    <x v="69"/>
    <n v="5972.043508402573"/>
  </r>
  <r>
    <x v="3"/>
    <x v="53"/>
    <n v="483335.90214136412"/>
  </r>
  <r>
    <x v="3"/>
    <x v="54"/>
    <n v="35616.362804942786"/>
  </r>
  <r>
    <x v="3"/>
    <x v="55"/>
    <n v="11637"/>
  </r>
  <r>
    <x v="3"/>
    <x v="56"/>
    <n v="109760"/>
  </r>
  <r>
    <x v="3"/>
    <x v="57"/>
    <n v="59564"/>
  </r>
  <r>
    <x v="3"/>
    <x v="58"/>
    <n v="110858"/>
  </r>
  <r>
    <x v="3"/>
    <x v="59"/>
    <n v="209832"/>
  </r>
  <r>
    <x v="3"/>
    <x v="60"/>
    <n v="64158"/>
  </r>
  <r>
    <x v="3"/>
    <x v="61"/>
    <n v="2593"/>
  </r>
  <r>
    <x v="3"/>
    <x v="62"/>
    <n v="0"/>
  </r>
  <r>
    <x v="3"/>
    <x v="63"/>
    <n v="401500"/>
  </r>
  <r>
    <x v="4"/>
    <x v="7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CC514-3F0B-4DF7-99C3-A38F923661E8}"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41:I47" firstHeaderRow="1" firstDataRow="1" firstDataCol="1"/>
  <pivotFields count="3">
    <pivotField showAll="0">
      <items count="6">
        <item x="0"/>
        <item x="1"/>
        <item x="2"/>
        <item x="3"/>
        <item h="1" x="4"/>
        <item t="default"/>
      </items>
    </pivotField>
    <pivotField axis="axisRow" showAll="0" measureFilter="1" sortType="descending">
      <items count="72">
        <item x="36"/>
        <item x="32"/>
        <item x="67"/>
        <item x="17"/>
        <item x="45"/>
        <item x="40"/>
        <item x="55"/>
        <item x="18"/>
        <item x="48"/>
        <item x="39"/>
        <item x="16"/>
        <item x="26"/>
        <item x="2"/>
        <item x="46"/>
        <item x="42"/>
        <item x="44"/>
        <item x="60"/>
        <item x="24"/>
        <item x="23"/>
        <item x="31"/>
        <item x="3"/>
        <item x="65"/>
        <item x="47"/>
        <item x="53"/>
        <item x="37"/>
        <item x="61"/>
        <item x="63"/>
        <item x="51"/>
        <item x="64"/>
        <item x="66"/>
        <item x="69"/>
        <item x="33"/>
        <item x="20"/>
        <item x="58"/>
        <item x="14"/>
        <item x="43"/>
        <item x="68"/>
        <item x="0"/>
        <item x="57"/>
        <item x="5"/>
        <item x="62"/>
        <item x="35"/>
        <item x="54"/>
        <item x="34"/>
        <item x="19"/>
        <item x="22"/>
        <item x="1"/>
        <item x="12"/>
        <item x="8"/>
        <item x="6"/>
        <item x="4"/>
        <item x="59"/>
        <item x="21"/>
        <item x="41"/>
        <item x="38"/>
        <item x="49"/>
        <item x="50"/>
        <item x="7"/>
        <item x="25"/>
        <item x="30"/>
        <item x="13"/>
        <item x="10"/>
        <item x="11"/>
        <item x="56"/>
        <item x="15"/>
        <item x="9"/>
        <item x="52"/>
        <item x="28"/>
        <item x="27"/>
        <item x="29"/>
        <item x="70"/>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
    <i>
      <x v="3"/>
    </i>
    <i>
      <x v="49"/>
    </i>
    <i>
      <x v="57"/>
    </i>
    <i>
      <x v="48"/>
    </i>
    <i>
      <x v="46"/>
    </i>
    <i t="grand">
      <x/>
    </i>
  </rowItems>
  <colItems count="1">
    <i/>
  </colItems>
  <dataFields count="1">
    <dataField name="Sum of Total spending"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1ADBF-075A-43E8-A20B-9F661801B3EC}"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83" firstHeaderRow="1" firstDataRow="1" firstDataCol="1"/>
  <pivotFields count="3">
    <pivotField showAll="0">
      <items count="6">
        <item x="0"/>
        <item x="1"/>
        <item x="2"/>
        <item x="3"/>
        <item h="1" x="4"/>
        <item t="default"/>
      </items>
    </pivotField>
    <pivotField axis="axisRow" showAll="0" sortType="descending">
      <items count="72">
        <item x="36"/>
        <item x="32"/>
        <item x="67"/>
        <item x="17"/>
        <item x="45"/>
        <item x="40"/>
        <item x="55"/>
        <item x="18"/>
        <item x="48"/>
        <item x="39"/>
        <item x="16"/>
        <item x="26"/>
        <item x="2"/>
        <item x="46"/>
        <item x="42"/>
        <item x="44"/>
        <item x="60"/>
        <item x="24"/>
        <item x="23"/>
        <item x="31"/>
        <item x="3"/>
        <item x="65"/>
        <item x="47"/>
        <item x="53"/>
        <item x="37"/>
        <item x="61"/>
        <item x="63"/>
        <item x="51"/>
        <item x="64"/>
        <item x="66"/>
        <item x="69"/>
        <item x="33"/>
        <item x="20"/>
        <item x="58"/>
        <item x="14"/>
        <item x="43"/>
        <item x="68"/>
        <item x="0"/>
        <item x="57"/>
        <item x="5"/>
        <item x="62"/>
        <item x="35"/>
        <item x="54"/>
        <item x="34"/>
        <item x="19"/>
        <item x="22"/>
        <item x="1"/>
        <item x="12"/>
        <item x="8"/>
        <item x="6"/>
        <item x="4"/>
        <item x="59"/>
        <item x="21"/>
        <item x="41"/>
        <item x="38"/>
        <item x="49"/>
        <item x="50"/>
        <item x="7"/>
        <item x="25"/>
        <item x="30"/>
        <item x="13"/>
        <item x="10"/>
        <item x="11"/>
        <item x="56"/>
        <item x="15"/>
        <item x="9"/>
        <item x="52"/>
        <item x="28"/>
        <item x="27"/>
        <item x="29"/>
        <item x="70"/>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71">
    <i>
      <x v="3"/>
    </i>
    <i>
      <x v="49"/>
    </i>
    <i>
      <x v="57"/>
    </i>
    <i>
      <x v="48"/>
    </i>
    <i>
      <x v="46"/>
    </i>
    <i>
      <x v="67"/>
    </i>
    <i>
      <x v="61"/>
    </i>
    <i>
      <x v="23"/>
    </i>
    <i>
      <x v="19"/>
    </i>
    <i>
      <x v="26"/>
    </i>
    <i>
      <x v="55"/>
    </i>
    <i>
      <x v="11"/>
    </i>
    <i>
      <x v="37"/>
    </i>
    <i>
      <x v="28"/>
    </i>
    <i>
      <x v="20"/>
    </i>
    <i>
      <x v="41"/>
    </i>
    <i>
      <x v="51"/>
    </i>
    <i>
      <x v="50"/>
    </i>
    <i>
      <x v="43"/>
    </i>
    <i>
      <x v="44"/>
    </i>
    <i>
      <x v="12"/>
    </i>
    <i>
      <x v="47"/>
    </i>
    <i>
      <x v="9"/>
    </i>
    <i>
      <x v="17"/>
    </i>
    <i>
      <x v="32"/>
    </i>
    <i>
      <x v="52"/>
    </i>
    <i>
      <x v="4"/>
    </i>
    <i>
      <x v="68"/>
    </i>
    <i>
      <x v="58"/>
    </i>
    <i>
      <x v="16"/>
    </i>
    <i>
      <x v="33"/>
    </i>
    <i>
      <x v="69"/>
    </i>
    <i>
      <x v="54"/>
    </i>
    <i>
      <x v="40"/>
    </i>
    <i>
      <x v="31"/>
    </i>
    <i>
      <x v="63"/>
    </i>
    <i>
      <x v="39"/>
    </i>
    <i>
      <x v="56"/>
    </i>
    <i>
      <x v="24"/>
    </i>
    <i>
      <x v="38"/>
    </i>
    <i>
      <x v="66"/>
    </i>
    <i>
      <x v="62"/>
    </i>
    <i>
      <x v="59"/>
    </i>
    <i>
      <x v="22"/>
    </i>
    <i>
      <x v="13"/>
    </i>
    <i>
      <x v="42"/>
    </i>
    <i>
      <x v="64"/>
    </i>
    <i>
      <x v="7"/>
    </i>
    <i>
      <x v="6"/>
    </i>
    <i>
      <x v="15"/>
    </i>
    <i>
      <x v="27"/>
    </i>
    <i>
      <x v="34"/>
    </i>
    <i>
      <x v="8"/>
    </i>
    <i>
      <x v="60"/>
    </i>
    <i>
      <x v="18"/>
    </i>
    <i>
      <x v="45"/>
    </i>
    <i>
      <x v="14"/>
    </i>
    <i>
      <x v="1"/>
    </i>
    <i>
      <x v="53"/>
    </i>
    <i>
      <x v="5"/>
    </i>
    <i>
      <x v="35"/>
    </i>
    <i>
      <x v="25"/>
    </i>
    <i>
      <x v="2"/>
    </i>
    <i>
      <x v="10"/>
    </i>
    <i>
      <x v="65"/>
    </i>
    <i>
      <x/>
    </i>
    <i>
      <x v="30"/>
    </i>
    <i>
      <x v="36"/>
    </i>
    <i>
      <x v="29"/>
    </i>
    <i>
      <x v="21"/>
    </i>
    <i t="grand">
      <x/>
    </i>
  </rowItems>
  <colItems count="1">
    <i/>
  </colItems>
  <dataFields count="1">
    <dataField name="Sum of Total spending"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44D3D-289A-4D75-9E88-DECCBAAE452B}"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9:L25" firstHeaderRow="1" firstDataRow="2" firstDataCol="1"/>
  <pivotFields count="3">
    <pivotField axis="axisRow" showAll="0">
      <items count="6">
        <item x="0"/>
        <item x="1"/>
        <item x="2"/>
        <item x="3"/>
        <item h="1" x="4"/>
        <item t="default"/>
      </items>
    </pivotField>
    <pivotField axis="axisCol" showAll="0">
      <items count="72">
        <item h="1" x="36"/>
        <item h="1" x="32"/>
        <item h="1" x="67"/>
        <item x="17"/>
        <item h="1" x="45"/>
        <item h="1" x="40"/>
        <item h="1" x="55"/>
        <item h="1" x="18"/>
        <item h="1" x="48"/>
        <item h="1" x="39"/>
        <item h="1" x="16"/>
        <item h="1" x="26"/>
        <item h="1" x="2"/>
        <item h="1" x="46"/>
        <item h="1" x="42"/>
        <item h="1" x="44"/>
        <item h="1" x="60"/>
        <item h="1" x="24"/>
        <item h="1" x="23"/>
        <item h="1" x="31"/>
        <item h="1" x="3"/>
        <item h="1" x="65"/>
        <item h="1" x="47"/>
        <item h="1" x="53"/>
        <item h="1" x="37"/>
        <item h="1" x="61"/>
        <item h="1" x="63"/>
        <item h="1" x="51"/>
        <item h="1" x="64"/>
        <item h="1" x="66"/>
        <item h="1" x="69"/>
        <item h="1" x="33"/>
        <item h="1" x="20"/>
        <item h="1" x="58"/>
        <item h="1" x="14"/>
        <item h="1" x="43"/>
        <item h="1" x="68"/>
        <item h="1" x="0"/>
        <item h="1" x="57"/>
        <item h="1" x="5"/>
        <item h="1" x="62"/>
        <item h="1" x="35"/>
        <item h="1" x="54"/>
        <item h="1" x="34"/>
        <item h="1" x="19"/>
        <item h="1" x="22"/>
        <item h="1" x="1"/>
        <item h="1" x="12"/>
        <item h="1" x="8"/>
        <item x="6"/>
        <item h="1" x="4"/>
        <item h="1" x="59"/>
        <item h="1" x="21"/>
        <item h="1" x="41"/>
        <item h="1" x="38"/>
        <item h="1" x="49"/>
        <item h="1" x="50"/>
        <item x="7"/>
        <item h="1" x="25"/>
        <item h="1" x="30"/>
        <item h="1" x="13"/>
        <item h="1" x="10"/>
        <item h="1" x="11"/>
        <item h="1" x="56"/>
        <item h="1" x="15"/>
        <item h="1" x="9"/>
        <item h="1" x="52"/>
        <item h="1" x="28"/>
        <item h="1" x="27"/>
        <item h="1" x="29"/>
        <item h="1" x="70"/>
        <item t="default"/>
      </items>
    </pivotField>
    <pivotField dataField="1" showAll="0"/>
  </pivotFields>
  <rowFields count="1">
    <field x="0"/>
  </rowFields>
  <rowItems count="5">
    <i>
      <x/>
    </i>
    <i>
      <x v="1"/>
    </i>
    <i>
      <x v="2"/>
    </i>
    <i>
      <x v="3"/>
    </i>
    <i t="grand">
      <x/>
    </i>
  </rowItems>
  <colFields count="1">
    <field x="1"/>
  </colFields>
  <colItems count="4">
    <i>
      <x v="3"/>
    </i>
    <i>
      <x v="49"/>
    </i>
    <i>
      <x v="57"/>
    </i>
    <i t="grand">
      <x/>
    </i>
  </colItems>
  <dataFields count="1">
    <dataField name="Sum of Total spending" fld="2" baseField="0" baseItem="0"/>
  </dataFields>
  <chartFormats count="24">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49"/>
          </reference>
        </references>
      </pivotArea>
    </chartFormat>
    <chartFormat chart="0" format="2" series="1">
      <pivotArea type="data" outline="0" fieldPosition="0">
        <references count="2">
          <reference field="4294967294" count="1" selected="0">
            <x v="0"/>
          </reference>
          <reference field="1" count="1" selected="0">
            <x v="57"/>
          </reference>
        </references>
      </pivotArea>
    </chartFormat>
    <chartFormat chart="1" format="0" series="1">
      <pivotArea type="data" outline="0" fieldPosition="0">
        <references count="2">
          <reference field="4294967294" count="1" selected="0">
            <x v="0"/>
          </reference>
          <reference field="1" count="1" selected="0">
            <x v="3"/>
          </reference>
        </references>
      </pivotArea>
    </chartFormat>
    <chartFormat chart="1" format="1" series="1">
      <pivotArea type="data" outline="0" fieldPosition="0">
        <references count="2">
          <reference field="4294967294" count="1" selected="0">
            <x v="0"/>
          </reference>
          <reference field="1" count="1" selected="0">
            <x v="49"/>
          </reference>
        </references>
      </pivotArea>
    </chartFormat>
    <chartFormat chart="1" format="2" series="1">
      <pivotArea type="data" outline="0" fieldPosition="0">
        <references count="2">
          <reference field="4294967294" count="1" selected="0">
            <x v="0"/>
          </reference>
          <reference field="1" count="1" selected="0">
            <x v="57"/>
          </reference>
        </references>
      </pivotArea>
    </chartFormat>
    <chartFormat chart="2" format="0" series="1">
      <pivotArea type="data" outline="0" fieldPosition="0">
        <references count="2">
          <reference field="4294967294" count="1" selected="0">
            <x v="0"/>
          </reference>
          <reference field="1" count="1" selected="0">
            <x v="3"/>
          </reference>
        </references>
      </pivotArea>
    </chartFormat>
    <chartFormat chart="2" format="1" series="1">
      <pivotArea type="data" outline="0" fieldPosition="0">
        <references count="2">
          <reference field="4294967294" count="1" selected="0">
            <x v="0"/>
          </reference>
          <reference field="1" count="1" selected="0">
            <x v="49"/>
          </reference>
        </references>
      </pivotArea>
    </chartFormat>
    <chartFormat chart="2" format="2" series="1">
      <pivotArea type="data" outline="0" fieldPosition="0">
        <references count="2">
          <reference field="4294967294" count="1" selected="0">
            <x v="0"/>
          </reference>
          <reference field="1" count="1" selected="0">
            <x v="57"/>
          </reference>
        </references>
      </pivotArea>
    </chartFormat>
    <chartFormat chart="3" format="0" series="1">
      <pivotArea type="data" outline="0" fieldPosition="0">
        <references count="2">
          <reference field="4294967294" count="1" selected="0">
            <x v="0"/>
          </reference>
          <reference field="1" count="1" selected="0">
            <x v="3"/>
          </reference>
        </references>
      </pivotArea>
    </chartFormat>
    <chartFormat chart="3" format="1" series="1">
      <pivotArea type="data" outline="0" fieldPosition="0">
        <references count="2">
          <reference field="4294967294" count="1" selected="0">
            <x v="0"/>
          </reference>
          <reference field="1" count="1" selected="0">
            <x v="49"/>
          </reference>
        </references>
      </pivotArea>
    </chartFormat>
    <chartFormat chart="3" format="2" series="1">
      <pivotArea type="data" outline="0" fieldPosition="0">
        <references count="2">
          <reference field="4294967294" count="1" selected="0">
            <x v="0"/>
          </reference>
          <reference field="1" count="1" selected="0">
            <x v="57"/>
          </reference>
        </references>
      </pivotArea>
    </chartFormat>
    <chartFormat chart="4" format="0" series="1">
      <pivotArea type="data" outline="0" fieldPosition="0">
        <references count="2">
          <reference field="4294967294" count="1" selected="0">
            <x v="0"/>
          </reference>
          <reference field="1" count="1" selected="0">
            <x v="3"/>
          </reference>
        </references>
      </pivotArea>
    </chartFormat>
    <chartFormat chart="4" format="1" series="1">
      <pivotArea type="data" outline="0" fieldPosition="0">
        <references count="2">
          <reference field="4294967294" count="1" selected="0">
            <x v="0"/>
          </reference>
          <reference field="1" count="1" selected="0">
            <x v="49"/>
          </reference>
        </references>
      </pivotArea>
    </chartFormat>
    <chartFormat chart="4" format="2" series="1">
      <pivotArea type="data" outline="0" fieldPosition="0">
        <references count="2">
          <reference field="4294967294" count="1" selected="0">
            <x v="0"/>
          </reference>
          <reference field="1" count="1" selected="0">
            <x v="57"/>
          </reference>
        </references>
      </pivotArea>
    </chartFormat>
    <chartFormat chart="5" format="0" series="1">
      <pivotArea type="data" outline="0" fieldPosition="0">
        <references count="2">
          <reference field="4294967294" count="1" selected="0">
            <x v="0"/>
          </reference>
          <reference field="1" count="1" selected="0">
            <x v="3"/>
          </reference>
        </references>
      </pivotArea>
    </chartFormat>
    <chartFormat chart="5" format="1" series="1">
      <pivotArea type="data" outline="0" fieldPosition="0">
        <references count="2">
          <reference field="4294967294" count="1" selected="0">
            <x v="0"/>
          </reference>
          <reference field="1" count="1" selected="0">
            <x v="49"/>
          </reference>
        </references>
      </pivotArea>
    </chartFormat>
    <chartFormat chart="5" format="2" series="1">
      <pivotArea type="data" outline="0" fieldPosition="0">
        <references count="2">
          <reference field="4294967294" count="1" selected="0">
            <x v="0"/>
          </reference>
          <reference field="1" count="1" selected="0">
            <x v="57"/>
          </reference>
        </references>
      </pivotArea>
    </chartFormat>
    <chartFormat chart="19" format="0" series="1">
      <pivotArea type="data" outline="0" fieldPosition="0">
        <references count="2">
          <reference field="4294967294" count="1" selected="0">
            <x v="0"/>
          </reference>
          <reference field="1" count="1" selected="0">
            <x v="3"/>
          </reference>
        </references>
      </pivotArea>
    </chartFormat>
    <chartFormat chart="19" format="1" series="1">
      <pivotArea type="data" outline="0" fieldPosition="0">
        <references count="2">
          <reference field="4294967294" count="1" selected="0">
            <x v="0"/>
          </reference>
          <reference field="1" count="1" selected="0">
            <x v="49"/>
          </reference>
        </references>
      </pivotArea>
    </chartFormat>
    <chartFormat chart="19" format="2" series="1">
      <pivotArea type="data" outline="0" fieldPosition="0">
        <references count="2">
          <reference field="4294967294" count="1" selected="0">
            <x v="0"/>
          </reference>
          <reference field="1" count="1" selected="0">
            <x v="57"/>
          </reference>
        </references>
      </pivotArea>
    </chartFormat>
    <chartFormat chart="20" format="0" series="1">
      <pivotArea type="data" outline="0" fieldPosition="0">
        <references count="2">
          <reference field="4294967294" count="1" selected="0">
            <x v="0"/>
          </reference>
          <reference field="1" count="1" selected="0">
            <x v="3"/>
          </reference>
        </references>
      </pivotArea>
    </chartFormat>
    <chartFormat chart="20" format="1" series="1">
      <pivotArea type="data" outline="0" fieldPosition="0">
        <references count="2">
          <reference field="4294967294" count="1" selected="0">
            <x v="0"/>
          </reference>
          <reference field="1" count="1" selected="0">
            <x v="49"/>
          </reference>
        </references>
      </pivotArea>
    </chartFormat>
    <chartFormat chart="20" format="2" series="1">
      <pivotArea type="data" outline="0" fieldPosition="0">
        <references count="2">
          <reference field="4294967294" count="1" selected="0">
            <x v="0"/>
          </reference>
          <reference field="1"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A81C7-1DD9-4BCD-AE6D-C3BFF4374E65}"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2:I17" firstHeaderRow="1" firstDataRow="1" firstDataCol="1"/>
  <pivotFields count="3">
    <pivotField axis="axisRow" showAll="0">
      <items count="6">
        <item x="0"/>
        <item x="1"/>
        <item x="2"/>
        <item x="3"/>
        <item h="1" x="4"/>
        <item t="default"/>
      </items>
    </pivotField>
    <pivotField showAll="0"/>
    <pivotField dataField="1" showAll="0"/>
  </pivotFields>
  <rowFields count="1">
    <field x="0"/>
  </rowFields>
  <rowItems count="5">
    <i>
      <x/>
    </i>
    <i>
      <x v="1"/>
    </i>
    <i>
      <x v="2"/>
    </i>
    <i>
      <x v="3"/>
    </i>
    <i t="grand">
      <x/>
    </i>
  </rowItems>
  <colItems count="1">
    <i/>
  </colItems>
  <dataFields count="1">
    <dataField name="Sum of Total spending"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7C5A126-C6ED-4058-BD4D-A0704CFBB9A3}" sourceName="year">
  <pivotTables>
    <pivotTable tabId="10" name="PivotTable3"/>
    <pivotTable tabId="10" name="PivotTable1"/>
    <pivotTable tabId="10" name="PivotTable2"/>
    <pivotTable tabId="10" name="PivotTable4"/>
  </pivotTables>
  <data>
    <tabular pivotCacheId="2059315636">
      <items count="5">
        <i x="0" s="1"/>
        <i x="1" s="1"/>
        <i x="2" s="1"/>
        <i x="3"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05260A1-0313-4762-B340-F8672473F54C}" cache="Slicer_year1" caption="year" style="SlicerStyleOther2" rowHeight="220133"/>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4"/>
  <sheetViews>
    <sheetView topLeftCell="K62" workbookViewId="0">
      <selection activeCell="T73" sqref="T3:T73"/>
    </sheetView>
  </sheetViews>
  <sheetFormatPr defaultRowHeight="12.5" x14ac:dyDescent="0.25"/>
  <cols>
    <col min="20" max="20" width="8.7265625" customWidth="1"/>
  </cols>
  <sheetData>
    <row r="1" spans="1:20" x14ac:dyDescent="0.25">
      <c r="A1" s="88" t="s">
        <v>2</v>
      </c>
      <c r="B1" s="52" t="s">
        <v>2</v>
      </c>
      <c r="C1" s="52">
        <v>1211</v>
      </c>
      <c r="D1" s="52">
        <v>1213</v>
      </c>
      <c r="E1" s="52">
        <v>1219</v>
      </c>
      <c r="F1" s="52">
        <v>1222</v>
      </c>
      <c r="G1" s="52">
        <v>1223</v>
      </c>
      <c r="H1" s="52">
        <v>1229</v>
      </c>
      <c r="I1" s="52">
        <v>1231</v>
      </c>
      <c r="J1" s="52">
        <v>1233</v>
      </c>
      <c r="K1" s="52">
        <v>1241</v>
      </c>
      <c r="L1" s="52">
        <v>1242</v>
      </c>
      <c r="M1" s="52">
        <v>1243</v>
      </c>
      <c r="N1" s="52">
        <v>1249</v>
      </c>
      <c r="O1" s="52">
        <v>1251</v>
      </c>
      <c r="P1" s="52">
        <v>1252</v>
      </c>
      <c r="Q1" s="52">
        <v>1259</v>
      </c>
      <c r="R1" s="52">
        <v>1261</v>
      </c>
      <c r="S1" s="52">
        <v>1262</v>
      </c>
      <c r="T1" s="53" t="s">
        <v>3</v>
      </c>
    </row>
    <row r="2" spans="1:20" ht="31.5" x14ac:dyDescent="0.25">
      <c r="A2" s="118" t="s">
        <v>181</v>
      </c>
      <c r="B2" s="119" t="s">
        <v>182</v>
      </c>
      <c r="C2" s="120" t="s">
        <v>5</v>
      </c>
      <c r="D2" s="120" t="s">
        <v>6</v>
      </c>
      <c r="E2" s="120" t="s">
        <v>7</v>
      </c>
      <c r="F2" s="120" t="s">
        <v>8</v>
      </c>
      <c r="G2" s="120" t="s">
        <v>9</v>
      </c>
      <c r="H2" s="120" t="s">
        <v>170</v>
      </c>
      <c r="I2" s="120" t="s">
        <v>171</v>
      </c>
      <c r="J2" s="120" t="s">
        <v>172</v>
      </c>
      <c r="K2" s="55" t="s">
        <v>173</v>
      </c>
      <c r="L2" s="120" t="s">
        <v>174</v>
      </c>
      <c r="M2" s="120" t="s">
        <v>175</v>
      </c>
      <c r="N2" s="120" t="s">
        <v>176</v>
      </c>
      <c r="O2" s="120" t="s">
        <v>17</v>
      </c>
      <c r="P2" s="120" t="s">
        <v>18</v>
      </c>
      <c r="Q2" s="120" t="s">
        <v>177</v>
      </c>
      <c r="R2" s="120" t="s">
        <v>20</v>
      </c>
      <c r="S2" s="120" t="s">
        <v>178</v>
      </c>
      <c r="T2" s="121"/>
    </row>
    <row r="3" spans="1:20" x14ac:dyDescent="0.25">
      <c r="A3" s="5" t="s">
        <v>22</v>
      </c>
      <c r="B3" s="42" t="s">
        <v>93</v>
      </c>
      <c r="C3" s="6">
        <v>25223</v>
      </c>
      <c r="D3" s="6">
        <v>201618</v>
      </c>
      <c r="E3" s="6">
        <v>12166</v>
      </c>
      <c r="F3" s="6">
        <v>0</v>
      </c>
      <c r="G3" s="6">
        <v>0</v>
      </c>
      <c r="H3" s="6">
        <v>65471</v>
      </c>
      <c r="I3" s="6">
        <v>10152</v>
      </c>
      <c r="J3" s="6">
        <v>0</v>
      </c>
      <c r="K3" s="6">
        <v>10292</v>
      </c>
      <c r="L3" s="6">
        <v>0</v>
      </c>
      <c r="M3" s="6">
        <v>0</v>
      </c>
      <c r="N3" s="6">
        <v>1582</v>
      </c>
      <c r="O3" s="6">
        <v>0</v>
      </c>
      <c r="P3" s="6">
        <v>0</v>
      </c>
      <c r="Q3" s="6">
        <v>0</v>
      </c>
      <c r="R3" s="6"/>
      <c r="S3" s="6">
        <v>0</v>
      </c>
      <c r="T3" s="7">
        <v>326504</v>
      </c>
    </row>
    <row r="4" spans="1:20" x14ac:dyDescent="0.25">
      <c r="A4" s="9" t="s">
        <v>23</v>
      </c>
      <c r="B4" s="99" t="s">
        <v>120</v>
      </c>
      <c r="C4" s="10">
        <v>62324</v>
      </c>
      <c r="D4" s="10">
        <v>552569</v>
      </c>
      <c r="E4" s="10">
        <v>32871</v>
      </c>
      <c r="F4" s="10">
        <v>0</v>
      </c>
      <c r="G4" s="10">
        <v>0</v>
      </c>
      <c r="H4" s="10">
        <v>122333</v>
      </c>
      <c r="I4" s="10">
        <v>26966</v>
      </c>
      <c r="J4" s="10">
        <v>0</v>
      </c>
      <c r="K4" s="10">
        <v>114</v>
      </c>
      <c r="L4" s="10">
        <v>0</v>
      </c>
      <c r="M4" s="10">
        <v>0</v>
      </c>
      <c r="N4" s="10">
        <v>0</v>
      </c>
      <c r="O4" s="10">
        <v>0</v>
      </c>
      <c r="P4" s="10">
        <v>0</v>
      </c>
      <c r="Q4" s="10">
        <v>0</v>
      </c>
      <c r="R4" s="10"/>
      <c r="S4" s="10">
        <v>0</v>
      </c>
      <c r="T4" s="11">
        <v>797177</v>
      </c>
    </row>
    <row r="5" spans="1:20" x14ac:dyDescent="0.25">
      <c r="A5" s="12" t="s">
        <v>24</v>
      </c>
      <c r="B5" s="100" t="s">
        <v>121</v>
      </c>
      <c r="C5" s="13">
        <v>14205</v>
      </c>
      <c r="D5" s="13">
        <v>113169</v>
      </c>
      <c r="E5" s="13">
        <v>15098</v>
      </c>
      <c r="F5" s="13">
        <v>6</v>
      </c>
      <c r="G5" s="13">
        <v>0</v>
      </c>
      <c r="H5" s="13">
        <v>65327</v>
      </c>
      <c r="I5" s="13">
        <v>17683</v>
      </c>
      <c r="J5" s="13">
        <v>0</v>
      </c>
      <c r="K5" s="13">
        <v>574</v>
      </c>
      <c r="L5" s="13">
        <v>0</v>
      </c>
      <c r="M5" s="13">
        <v>0</v>
      </c>
      <c r="N5" s="13">
        <v>0</v>
      </c>
      <c r="O5" s="13">
        <v>0</v>
      </c>
      <c r="P5" s="13">
        <v>0</v>
      </c>
      <c r="Q5" s="13">
        <v>0</v>
      </c>
      <c r="R5" s="13"/>
      <c r="S5" s="13">
        <v>0</v>
      </c>
      <c r="T5" s="14">
        <v>226062</v>
      </c>
    </row>
    <row r="6" spans="1:20" x14ac:dyDescent="0.25">
      <c r="A6" s="12" t="s">
        <v>25</v>
      </c>
      <c r="B6" s="100" t="s">
        <v>94</v>
      </c>
      <c r="C6" s="13">
        <v>13864</v>
      </c>
      <c r="D6" s="13">
        <v>168475</v>
      </c>
      <c r="E6" s="13">
        <v>6096</v>
      </c>
      <c r="F6" s="13">
        <v>3</v>
      </c>
      <c r="G6" s="13">
        <v>0</v>
      </c>
      <c r="H6" s="13">
        <v>81820</v>
      </c>
      <c r="I6" s="13">
        <v>11970</v>
      </c>
      <c r="J6" s="13">
        <v>0</v>
      </c>
      <c r="K6" s="13">
        <v>46120</v>
      </c>
      <c r="L6" s="13">
        <v>1</v>
      </c>
      <c r="M6" s="13">
        <v>0</v>
      </c>
      <c r="N6" s="13">
        <v>0</v>
      </c>
      <c r="O6" s="13">
        <v>0</v>
      </c>
      <c r="P6" s="13">
        <v>0</v>
      </c>
      <c r="Q6" s="13">
        <v>0</v>
      </c>
      <c r="R6" s="13"/>
      <c r="S6" s="13">
        <v>0</v>
      </c>
      <c r="T6" s="14">
        <v>328349</v>
      </c>
    </row>
    <row r="7" spans="1:20" x14ac:dyDescent="0.25">
      <c r="A7" s="12" t="s">
        <v>26</v>
      </c>
      <c r="B7" s="100" t="s">
        <v>95</v>
      </c>
      <c r="C7" s="13">
        <v>16001</v>
      </c>
      <c r="D7" s="13">
        <v>171390</v>
      </c>
      <c r="E7" s="13">
        <v>9425</v>
      </c>
      <c r="F7" s="13">
        <v>14</v>
      </c>
      <c r="G7" s="13">
        <v>0</v>
      </c>
      <c r="H7" s="13">
        <v>102128</v>
      </c>
      <c r="I7" s="13">
        <v>20544</v>
      </c>
      <c r="J7" s="13">
        <v>0</v>
      </c>
      <c r="K7" s="13">
        <v>657</v>
      </c>
      <c r="L7" s="13">
        <v>3402</v>
      </c>
      <c r="M7" s="13">
        <v>262</v>
      </c>
      <c r="N7" s="13">
        <v>0</v>
      </c>
      <c r="O7" s="13">
        <v>0</v>
      </c>
      <c r="P7" s="13">
        <v>0</v>
      </c>
      <c r="Q7" s="13">
        <v>0</v>
      </c>
      <c r="R7" s="13"/>
      <c r="S7" s="13">
        <v>0</v>
      </c>
      <c r="T7" s="14">
        <v>323823</v>
      </c>
    </row>
    <row r="8" spans="1:20" x14ac:dyDescent="0.25">
      <c r="A8" s="15" t="s">
        <v>27</v>
      </c>
      <c r="B8" s="101" t="s">
        <v>96</v>
      </c>
      <c r="C8" s="16">
        <v>2179</v>
      </c>
      <c r="D8" s="16">
        <v>16719</v>
      </c>
      <c r="E8" s="16">
        <v>614</v>
      </c>
      <c r="F8" s="16">
        <v>0</v>
      </c>
      <c r="G8" s="16">
        <v>0</v>
      </c>
      <c r="H8" s="16">
        <v>47533</v>
      </c>
      <c r="I8" s="16">
        <v>4927</v>
      </c>
      <c r="J8" s="16">
        <v>0</v>
      </c>
      <c r="K8" s="16">
        <v>6845</v>
      </c>
      <c r="L8" s="16">
        <v>0</v>
      </c>
      <c r="M8" s="16">
        <v>0</v>
      </c>
      <c r="N8" s="16">
        <v>60</v>
      </c>
      <c r="O8" s="16">
        <v>0</v>
      </c>
      <c r="P8" s="16">
        <v>0</v>
      </c>
      <c r="Q8" s="16">
        <v>0</v>
      </c>
      <c r="R8" s="16"/>
      <c r="S8" s="16">
        <v>0</v>
      </c>
      <c r="T8" s="17">
        <v>78877</v>
      </c>
    </row>
    <row r="9" spans="1:20" x14ac:dyDescent="0.25">
      <c r="A9" s="20" t="s">
        <v>28</v>
      </c>
      <c r="B9" s="102" t="s">
        <v>122</v>
      </c>
      <c r="C9" s="21">
        <v>112697</v>
      </c>
      <c r="D9" s="21">
        <v>959573</v>
      </c>
      <c r="E9" s="21">
        <v>54033</v>
      </c>
      <c r="F9" s="21">
        <v>1136</v>
      </c>
      <c r="G9" s="21">
        <v>0.39856508183470396</v>
      </c>
      <c r="H9" s="21">
        <v>366682</v>
      </c>
      <c r="I9" s="21">
        <v>64863</v>
      </c>
      <c r="J9" s="21">
        <v>0</v>
      </c>
      <c r="K9" s="21">
        <f>0+8132</f>
        <v>8132</v>
      </c>
      <c r="L9" s="21">
        <v>0</v>
      </c>
      <c r="M9" s="21">
        <v>959.6014349181653</v>
      </c>
      <c r="N9" s="21">
        <v>0</v>
      </c>
      <c r="O9" s="21">
        <v>0</v>
      </c>
      <c r="P9" s="21">
        <v>0</v>
      </c>
      <c r="Q9" s="21">
        <v>0</v>
      </c>
      <c r="R9" s="21"/>
      <c r="S9" s="21">
        <v>0</v>
      </c>
      <c r="T9" s="22">
        <f t="shared" ref="T9:T17" si="0">SUM(C9:S9)</f>
        <v>1568076</v>
      </c>
    </row>
    <row r="10" spans="1:20" x14ac:dyDescent="0.25">
      <c r="A10" s="12" t="s">
        <v>29</v>
      </c>
      <c r="B10" s="100" t="s">
        <v>123</v>
      </c>
      <c r="C10" s="13">
        <v>72490</v>
      </c>
      <c r="D10" s="13">
        <v>616317</v>
      </c>
      <c r="E10" s="13">
        <v>34503</v>
      </c>
      <c r="F10" s="13">
        <v>719</v>
      </c>
      <c r="G10" s="13">
        <v>-0.39856508183470396</v>
      </c>
      <c r="H10" s="13">
        <v>237613</v>
      </c>
      <c r="I10" s="13">
        <v>41566</v>
      </c>
      <c r="J10" s="13">
        <v>0</v>
      </c>
      <c r="K10" s="13">
        <f>0+4716</f>
        <v>4716</v>
      </c>
      <c r="L10" s="13">
        <v>0</v>
      </c>
      <c r="M10" s="13">
        <v>604.3985650818347</v>
      </c>
      <c r="N10" s="13">
        <v>0</v>
      </c>
      <c r="O10" s="13">
        <v>0</v>
      </c>
      <c r="P10" s="13">
        <v>0</v>
      </c>
      <c r="Q10" s="13">
        <v>0</v>
      </c>
      <c r="R10" s="13"/>
      <c r="S10" s="13">
        <v>0</v>
      </c>
      <c r="T10" s="22">
        <f t="shared" si="0"/>
        <v>1008528</v>
      </c>
    </row>
    <row r="11" spans="1:20" x14ac:dyDescent="0.25">
      <c r="A11" s="12" t="s">
        <v>30</v>
      </c>
      <c r="B11" s="100" t="s">
        <v>124</v>
      </c>
      <c r="C11" s="13">
        <v>0</v>
      </c>
      <c r="D11" s="13">
        <v>601</v>
      </c>
      <c r="E11" s="13">
        <v>0</v>
      </c>
      <c r="F11" s="13">
        <v>0</v>
      </c>
      <c r="G11" s="13">
        <v>0</v>
      </c>
      <c r="H11" s="13">
        <v>32</v>
      </c>
      <c r="I11" s="13">
        <v>0</v>
      </c>
      <c r="J11" s="13">
        <v>0</v>
      </c>
      <c r="K11" s="13">
        <v>996070</v>
      </c>
      <c r="L11" s="13">
        <v>0</v>
      </c>
      <c r="M11" s="13">
        <v>0</v>
      </c>
      <c r="N11" s="13">
        <v>122</v>
      </c>
      <c r="O11" s="13">
        <v>0</v>
      </c>
      <c r="P11" s="13">
        <v>0</v>
      </c>
      <c r="Q11" s="13">
        <v>0</v>
      </c>
      <c r="R11" s="13"/>
      <c r="S11" s="13">
        <v>0</v>
      </c>
      <c r="T11" s="22">
        <f t="shared" si="0"/>
        <v>996825</v>
      </c>
    </row>
    <row r="12" spans="1:20" x14ac:dyDescent="0.25">
      <c r="A12" s="12" t="s">
        <v>31</v>
      </c>
      <c r="B12" s="100" t="s">
        <v>125</v>
      </c>
      <c r="C12" s="13">
        <v>0</v>
      </c>
      <c r="D12" s="13">
        <v>0</v>
      </c>
      <c r="E12" s="13">
        <v>0</v>
      </c>
      <c r="F12" s="13">
        <v>0</v>
      </c>
      <c r="G12" s="13">
        <v>0</v>
      </c>
      <c r="H12" s="13">
        <v>0</v>
      </c>
      <c r="I12" s="13">
        <v>0</v>
      </c>
      <c r="J12" s="13">
        <v>0</v>
      </c>
      <c r="K12" s="13">
        <v>0</v>
      </c>
      <c r="L12" s="13">
        <v>0</v>
      </c>
      <c r="M12" s="13">
        <v>0</v>
      </c>
      <c r="N12" s="13">
        <v>0</v>
      </c>
      <c r="O12" s="13">
        <v>0</v>
      </c>
      <c r="P12" s="13">
        <v>0</v>
      </c>
      <c r="Q12" s="13">
        <v>0</v>
      </c>
      <c r="R12" s="13"/>
      <c r="S12" s="13">
        <v>0</v>
      </c>
      <c r="T12" s="22">
        <f t="shared" si="0"/>
        <v>0</v>
      </c>
    </row>
    <row r="13" spans="1:20" x14ac:dyDescent="0.25">
      <c r="A13" s="12" t="s">
        <v>32</v>
      </c>
      <c r="B13" s="100" t="s">
        <v>126</v>
      </c>
      <c r="C13" s="13">
        <v>21172</v>
      </c>
      <c r="D13" s="13">
        <v>210619</v>
      </c>
      <c r="E13" s="13">
        <v>10464</v>
      </c>
      <c r="F13" s="13">
        <v>1000</v>
      </c>
      <c r="G13" s="13">
        <v>0</v>
      </c>
      <c r="H13" s="13">
        <v>107762</v>
      </c>
      <c r="I13" s="13">
        <v>24069</v>
      </c>
      <c r="J13" s="13">
        <v>0</v>
      </c>
      <c r="K13" s="13">
        <v>58341</v>
      </c>
      <c r="L13" s="13">
        <v>51846</v>
      </c>
      <c r="M13" s="13">
        <v>0</v>
      </c>
      <c r="N13" s="13">
        <v>473</v>
      </c>
      <c r="O13" s="13">
        <v>0</v>
      </c>
      <c r="P13" s="13">
        <v>0</v>
      </c>
      <c r="Q13" s="13">
        <v>0</v>
      </c>
      <c r="R13" s="13"/>
      <c r="S13" s="13">
        <v>0</v>
      </c>
      <c r="T13" s="22">
        <f t="shared" si="0"/>
        <v>485746</v>
      </c>
    </row>
    <row r="14" spans="1:20" x14ac:dyDescent="0.25">
      <c r="A14" s="12" t="s">
        <v>33</v>
      </c>
      <c r="B14" s="100" t="s">
        <v>127</v>
      </c>
      <c r="C14" s="13">
        <v>664</v>
      </c>
      <c r="D14" s="13">
        <v>5893</v>
      </c>
      <c r="E14" s="13">
        <v>606</v>
      </c>
      <c r="F14" s="13">
        <v>0</v>
      </c>
      <c r="G14" s="13">
        <v>0</v>
      </c>
      <c r="H14" s="13">
        <v>3066</v>
      </c>
      <c r="I14" s="13">
        <v>2639</v>
      </c>
      <c r="J14" s="13">
        <v>0</v>
      </c>
      <c r="K14" s="13">
        <v>10514</v>
      </c>
      <c r="L14" s="13">
        <v>6818</v>
      </c>
      <c r="M14" s="13">
        <v>0</v>
      </c>
      <c r="N14" s="13">
        <v>89</v>
      </c>
      <c r="O14" s="13">
        <v>0</v>
      </c>
      <c r="P14" s="13">
        <v>0</v>
      </c>
      <c r="Q14" s="13">
        <v>0</v>
      </c>
      <c r="R14" s="13"/>
      <c r="S14" s="13">
        <v>0</v>
      </c>
      <c r="T14" s="22">
        <f t="shared" si="0"/>
        <v>30289</v>
      </c>
    </row>
    <row r="15" spans="1:20" x14ac:dyDescent="0.25">
      <c r="A15" s="12" t="s">
        <v>34</v>
      </c>
      <c r="B15" s="100" t="s">
        <v>97</v>
      </c>
      <c r="C15" s="13">
        <v>3</v>
      </c>
      <c r="D15" s="13">
        <v>171164</v>
      </c>
      <c r="E15" s="13">
        <v>104</v>
      </c>
      <c r="F15" s="13">
        <v>4</v>
      </c>
      <c r="G15" s="13">
        <v>0</v>
      </c>
      <c r="H15" s="13">
        <v>16844</v>
      </c>
      <c r="I15" s="13">
        <v>3870</v>
      </c>
      <c r="J15" s="13">
        <v>0</v>
      </c>
      <c r="K15" s="13">
        <f>21096-12848</f>
        <v>8248</v>
      </c>
      <c r="L15" s="13">
        <v>0</v>
      </c>
      <c r="M15" s="13">
        <v>138</v>
      </c>
      <c r="N15" s="13">
        <v>0</v>
      </c>
      <c r="O15" s="13">
        <v>0</v>
      </c>
      <c r="P15" s="13">
        <v>0</v>
      </c>
      <c r="Q15" s="13">
        <v>0</v>
      </c>
      <c r="R15" s="13"/>
      <c r="S15" s="13">
        <v>0</v>
      </c>
      <c r="T15" s="22">
        <f t="shared" si="0"/>
        <v>200375</v>
      </c>
    </row>
    <row r="16" spans="1:20" x14ac:dyDescent="0.25">
      <c r="A16" s="12" t="s">
        <v>35</v>
      </c>
      <c r="B16" s="100" t="s">
        <v>128</v>
      </c>
      <c r="C16" s="13">
        <v>0</v>
      </c>
      <c r="D16" s="13">
        <v>0</v>
      </c>
      <c r="E16" s="13">
        <v>0</v>
      </c>
      <c r="F16" s="13">
        <v>0</v>
      </c>
      <c r="G16" s="13">
        <v>0</v>
      </c>
      <c r="H16" s="13">
        <v>0</v>
      </c>
      <c r="I16" s="13">
        <v>0</v>
      </c>
      <c r="J16" s="13">
        <v>0</v>
      </c>
      <c r="K16" s="13">
        <v>0</v>
      </c>
      <c r="L16" s="13">
        <v>0</v>
      </c>
      <c r="M16" s="13">
        <v>31</v>
      </c>
      <c r="N16" s="13">
        <v>0</v>
      </c>
      <c r="O16" s="13">
        <v>0</v>
      </c>
      <c r="P16" s="13">
        <v>0</v>
      </c>
      <c r="Q16" s="13">
        <v>0</v>
      </c>
      <c r="R16" s="13"/>
      <c r="S16" s="13">
        <v>0</v>
      </c>
      <c r="T16" s="22">
        <f t="shared" si="0"/>
        <v>31</v>
      </c>
    </row>
    <row r="17" spans="1:20" x14ac:dyDescent="0.25">
      <c r="A17" s="12" t="s">
        <v>36</v>
      </c>
      <c r="B17" s="100" t="s">
        <v>129</v>
      </c>
      <c r="C17" s="13">
        <v>115</v>
      </c>
      <c r="D17" s="13">
        <v>835</v>
      </c>
      <c r="E17" s="13">
        <v>30</v>
      </c>
      <c r="F17" s="13">
        <v>0</v>
      </c>
      <c r="G17" s="13">
        <v>0</v>
      </c>
      <c r="H17" s="13">
        <v>196</v>
      </c>
      <c r="I17" s="13">
        <v>1</v>
      </c>
      <c r="J17" s="13">
        <v>0</v>
      </c>
      <c r="K17" s="13">
        <v>2923</v>
      </c>
      <c r="L17" s="13">
        <v>0</v>
      </c>
      <c r="M17" s="13">
        <v>0</v>
      </c>
      <c r="N17" s="13">
        <v>658</v>
      </c>
      <c r="O17" s="13">
        <v>0</v>
      </c>
      <c r="P17" s="13">
        <v>0</v>
      </c>
      <c r="Q17" s="13">
        <v>0</v>
      </c>
      <c r="R17" s="13"/>
      <c r="S17" s="13">
        <v>0</v>
      </c>
      <c r="T17" s="22">
        <f t="shared" si="0"/>
        <v>4758</v>
      </c>
    </row>
    <row r="18" spans="1:20" x14ac:dyDescent="0.25">
      <c r="A18" s="12" t="s">
        <v>37</v>
      </c>
      <c r="B18" s="100" t="s">
        <v>130</v>
      </c>
      <c r="C18" s="13">
        <v>0</v>
      </c>
      <c r="D18" s="13">
        <v>3603</v>
      </c>
      <c r="E18" s="13">
        <v>184</v>
      </c>
      <c r="F18" s="13">
        <v>0</v>
      </c>
      <c r="G18" s="13">
        <v>25794</v>
      </c>
      <c r="H18" s="13">
        <v>25109</v>
      </c>
      <c r="I18" s="13">
        <v>0</v>
      </c>
      <c r="J18" s="13">
        <v>0</v>
      </c>
      <c r="K18" s="13">
        <v>0</v>
      </c>
      <c r="L18" s="13">
        <v>0</v>
      </c>
      <c r="M18" s="13">
        <v>0</v>
      </c>
      <c r="N18" s="13">
        <v>0</v>
      </c>
      <c r="O18" s="13">
        <v>0</v>
      </c>
      <c r="P18" s="13">
        <v>0</v>
      </c>
      <c r="Q18" s="13">
        <v>0</v>
      </c>
      <c r="R18" s="13"/>
      <c r="S18" s="13">
        <v>0</v>
      </c>
      <c r="T18" s="14">
        <v>54690</v>
      </c>
    </row>
    <row r="19" spans="1:20" x14ac:dyDescent="0.25">
      <c r="A19" s="15" t="s">
        <v>38</v>
      </c>
      <c r="B19" s="101" t="s">
        <v>98</v>
      </c>
      <c r="C19" s="16">
        <v>96</v>
      </c>
      <c r="D19" s="16">
        <v>771</v>
      </c>
      <c r="E19" s="16">
        <v>19</v>
      </c>
      <c r="F19" s="16">
        <v>0</v>
      </c>
      <c r="G19" s="16">
        <v>0</v>
      </c>
      <c r="H19" s="16">
        <v>2465</v>
      </c>
      <c r="I19" s="16">
        <v>0</v>
      </c>
      <c r="J19" s="16">
        <v>0</v>
      </c>
      <c r="K19" s="16">
        <v>0</v>
      </c>
      <c r="L19" s="16">
        <v>0</v>
      </c>
      <c r="M19" s="16">
        <v>0</v>
      </c>
      <c r="N19" s="16">
        <v>0</v>
      </c>
      <c r="O19" s="16">
        <v>0</v>
      </c>
      <c r="P19" s="16">
        <v>0</v>
      </c>
      <c r="Q19" s="16">
        <v>0</v>
      </c>
      <c r="R19" s="16"/>
      <c r="S19" s="16">
        <v>0</v>
      </c>
      <c r="T19" s="17">
        <v>3351</v>
      </c>
    </row>
    <row r="20" spans="1:20" x14ac:dyDescent="0.25">
      <c r="A20" s="20" t="s">
        <v>39</v>
      </c>
      <c r="B20" s="102" t="s">
        <v>131</v>
      </c>
      <c r="C20" s="21">
        <v>221804</v>
      </c>
      <c r="D20" s="21">
        <v>2366215</v>
      </c>
      <c r="E20" s="21">
        <v>108987</v>
      </c>
      <c r="F20" s="21">
        <v>1824</v>
      </c>
      <c r="G20" s="21">
        <v>0</v>
      </c>
      <c r="H20" s="21">
        <v>1434618</v>
      </c>
      <c r="I20" s="21">
        <v>161420</v>
      </c>
      <c r="J20" s="21">
        <v>0</v>
      </c>
      <c r="K20" s="21">
        <v>43942</v>
      </c>
      <c r="L20" s="21">
        <v>4792</v>
      </c>
      <c r="M20" s="21">
        <v>0</v>
      </c>
      <c r="N20" s="21">
        <v>38</v>
      </c>
      <c r="O20" s="21">
        <v>0</v>
      </c>
      <c r="P20" s="21">
        <v>0</v>
      </c>
      <c r="Q20" s="21">
        <v>0</v>
      </c>
      <c r="R20" s="21"/>
      <c r="S20" s="21">
        <v>0</v>
      </c>
      <c r="T20" s="22">
        <v>4343640</v>
      </c>
    </row>
    <row r="21" spans="1:20" x14ac:dyDescent="0.25">
      <c r="A21" s="12" t="s">
        <v>40</v>
      </c>
      <c r="B21" s="100" t="s">
        <v>132</v>
      </c>
      <c r="C21" s="13">
        <v>29348</v>
      </c>
      <c r="D21" s="13">
        <v>309520</v>
      </c>
      <c r="E21" s="13">
        <v>8122</v>
      </c>
      <c r="F21" s="13">
        <v>175</v>
      </c>
      <c r="G21" s="13">
        <v>0</v>
      </c>
      <c r="H21" s="13">
        <v>65593</v>
      </c>
      <c r="I21" s="13">
        <v>1381</v>
      </c>
      <c r="J21" s="13">
        <v>0</v>
      </c>
      <c r="K21" s="13">
        <v>480</v>
      </c>
      <c r="L21" s="13">
        <v>0</v>
      </c>
      <c r="M21" s="13">
        <v>0</v>
      </c>
      <c r="N21" s="13">
        <v>0</v>
      </c>
      <c r="O21" s="13">
        <v>0</v>
      </c>
      <c r="P21" s="13">
        <v>0</v>
      </c>
      <c r="Q21" s="13">
        <v>0</v>
      </c>
      <c r="R21" s="13"/>
      <c r="S21" s="13">
        <v>0</v>
      </c>
      <c r="T21" s="14">
        <v>414619</v>
      </c>
    </row>
    <row r="22" spans="1:20" x14ac:dyDescent="0.25">
      <c r="A22" s="12" t="s">
        <v>41</v>
      </c>
      <c r="B22" s="100" t="s">
        <v>133</v>
      </c>
      <c r="C22" s="13">
        <v>0</v>
      </c>
      <c r="D22" s="13">
        <v>0</v>
      </c>
      <c r="E22" s="13">
        <v>0</v>
      </c>
      <c r="F22" s="13">
        <v>0</v>
      </c>
      <c r="G22" s="13">
        <v>0</v>
      </c>
      <c r="H22" s="13">
        <v>0</v>
      </c>
      <c r="I22" s="13">
        <v>0</v>
      </c>
      <c r="J22" s="13">
        <v>0</v>
      </c>
      <c r="K22" s="13">
        <v>0</v>
      </c>
      <c r="L22" s="13">
        <v>0</v>
      </c>
      <c r="M22" s="13">
        <v>0</v>
      </c>
      <c r="N22" s="13">
        <v>0</v>
      </c>
      <c r="O22" s="13">
        <v>0</v>
      </c>
      <c r="P22" s="13">
        <v>0</v>
      </c>
      <c r="Q22" s="13">
        <v>0</v>
      </c>
      <c r="R22" s="13"/>
      <c r="S22" s="13">
        <v>0</v>
      </c>
      <c r="T22" s="14">
        <v>0</v>
      </c>
    </row>
    <row r="23" spans="1:20" x14ac:dyDescent="0.25">
      <c r="A23" s="12" t="s">
        <v>42</v>
      </c>
      <c r="B23" s="100" t="s">
        <v>99</v>
      </c>
      <c r="C23" s="13">
        <v>0</v>
      </c>
      <c r="D23" s="13">
        <v>0</v>
      </c>
      <c r="E23" s="13">
        <v>0</v>
      </c>
      <c r="F23" s="13">
        <v>0</v>
      </c>
      <c r="G23" s="13">
        <v>0</v>
      </c>
      <c r="H23" s="13">
        <v>0</v>
      </c>
      <c r="I23" s="13">
        <v>0</v>
      </c>
      <c r="J23" s="13">
        <v>0</v>
      </c>
      <c r="K23" s="13">
        <v>0</v>
      </c>
      <c r="L23" s="13">
        <v>0</v>
      </c>
      <c r="M23" s="13">
        <v>0</v>
      </c>
      <c r="N23" s="13">
        <v>0</v>
      </c>
      <c r="O23" s="13">
        <v>0</v>
      </c>
      <c r="P23" s="13">
        <v>0</v>
      </c>
      <c r="Q23" s="13">
        <v>0</v>
      </c>
      <c r="R23" s="13"/>
      <c r="S23" s="13">
        <v>0</v>
      </c>
      <c r="T23" s="14">
        <v>0</v>
      </c>
    </row>
    <row r="24" spans="1:20" x14ac:dyDescent="0.25">
      <c r="A24" s="12" t="s">
        <v>43</v>
      </c>
      <c r="B24" s="100" t="s">
        <v>134</v>
      </c>
      <c r="C24" s="13">
        <v>2621</v>
      </c>
      <c r="D24" s="13">
        <v>27916</v>
      </c>
      <c r="E24" s="13">
        <v>1222</v>
      </c>
      <c r="F24" s="13">
        <v>21</v>
      </c>
      <c r="G24" s="13">
        <v>0</v>
      </c>
      <c r="H24" s="13">
        <v>16039</v>
      </c>
      <c r="I24" s="13">
        <v>1699</v>
      </c>
      <c r="J24" s="13">
        <v>0</v>
      </c>
      <c r="K24" s="13">
        <v>464</v>
      </c>
      <c r="L24" s="13">
        <v>50</v>
      </c>
      <c r="M24" s="13">
        <v>0</v>
      </c>
      <c r="N24" s="13">
        <v>0</v>
      </c>
      <c r="O24" s="13">
        <v>0</v>
      </c>
      <c r="P24" s="13">
        <v>0</v>
      </c>
      <c r="Q24" s="13">
        <v>0</v>
      </c>
      <c r="R24" s="13"/>
      <c r="S24" s="13">
        <v>0</v>
      </c>
      <c r="T24" s="14">
        <v>50032</v>
      </c>
    </row>
    <row r="25" spans="1:20" x14ac:dyDescent="0.25">
      <c r="A25" s="12" t="s">
        <v>44</v>
      </c>
      <c r="B25" s="100" t="s">
        <v>135</v>
      </c>
      <c r="C25" s="13">
        <v>14824</v>
      </c>
      <c r="D25" s="13">
        <v>153451</v>
      </c>
      <c r="E25" s="13">
        <v>7635</v>
      </c>
      <c r="F25" s="13">
        <v>12862.006482694431</v>
      </c>
      <c r="G25" s="13">
        <v>0</v>
      </c>
      <c r="H25" s="13">
        <v>37785</v>
      </c>
      <c r="I25" s="13">
        <v>10504</v>
      </c>
      <c r="J25" s="13">
        <v>0</v>
      </c>
      <c r="K25" s="13">
        <v>0</v>
      </c>
      <c r="L25" s="13">
        <v>0</v>
      </c>
      <c r="M25" s="13">
        <v>0</v>
      </c>
      <c r="N25" s="13">
        <v>0</v>
      </c>
      <c r="O25" s="13">
        <v>0</v>
      </c>
      <c r="P25" s="13">
        <v>0</v>
      </c>
      <c r="Q25" s="13">
        <v>0</v>
      </c>
      <c r="R25" s="13"/>
      <c r="S25" s="13">
        <v>0</v>
      </c>
      <c r="T25" s="14">
        <v>237061.00648269444</v>
      </c>
    </row>
    <row r="26" spans="1:20" x14ac:dyDescent="0.25">
      <c r="A26" s="12" t="s">
        <v>45</v>
      </c>
      <c r="B26" s="100" t="s">
        <v>136</v>
      </c>
      <c r="C26" s="13">
        <v>6434</v>
      </c>
      <c r="D26" s="13">
        <v>64939</v>
      </c>
      <c r="E26" s="13">
        <v>4247.6000000000004</v>
      </c>
      <c r="F26" s="13">
        <v>145</v>
      </c>
      <c r="G26" s="13">
        <v>0</v>
      </c>
      <c r="H26" s="13">
        <v>57897</v>
      </c>
      <c r="I26" s="13">
        <v>3030</v>
      </c>
      <c r="J26" s="13">
        <v>0</v>
      </c>
      <c r="K26" s="13">
        <v>36788</v>
      </c>
      <c r="L26" s="13">
        <v>72</v>
      </c>
      <c r="M26" s="13">
        <v>0</v>
      </c>
      <c r="N26" s="13">
        <v>1</v>
      </c>
      <c r="O26" s="13">
        <v>0</v>
      </c>
      <c r="P26" s="13">
        <v>0</v>
      </c>
      <c r="Q26" s="13">
        <v>0</v>
      </c>
      <c r="R26" s="13"/>
      <c r="S26" s="13">
        <v>0</v>
      </c>
      <c r="T26" s="14">
        <v>173553.6</v>
      </c>
    </row>
    <row r="27" spans="1:20" x14ac:dyDescent="0.25">
      <c r="A27" s="12" t="s">
        <v>46</v>
      </c>
      <c r="B27" s="100" t="s">
        <v>100</v>
      </c>
      <c r="C27" s="13">
        <v>7641</v>
      </c>
      <c r="D27" s="13">
        <v>58564</v>
      </c>
      <c r="E27" s="13">
        <v>3563</v>
      </c>
      <c r="F27" s="13">
        <v>60.8</v>
      </c>
      <c r="G27" s="13">
        <v>0</v>
      </c>
      <c r="H27" s="13">
        <v>50552</v>
      </c>
      <c r="I27" s="13">
        <v>4953</v>
      </c>
      <c r="J27" s="13">
        <v>0</v>
      </c>
      <c r="K27" s="13">
        <v>1352</v>
      </c>
      <c r="L27" s="13">
        <v>146</v>
      </c>
      <c r="M27" s="13">
        <v>0</v>
      </c>
      <c r="N27" s="13">
        <v>1</v>
      </c>
      <c r="O27" s="13">
        <v>0</v>
      </c>
      <c r="P27" s="13">
        <v>0</v>
      </c>
      <c r="Q27" s="13">
        <v>0</v>
      </c>
      <c r="R27" s="13"/>
      <c r="S27" s="13">
        <v>0</v>
      </c>
      <c r="T27" s="14">
        <v>126832.8</v>
      </c>
    </row>
    <row r="28" spans="1:20" x14ac:dyDescent="0.25">
      <c r="A28" s="12" t="s">
        <v>47</v>
      </c>
      <c r="B28" s="100" t="s">
        <v>101</v>
      </c>
      <c r="C28" s="13">
        <v>856</v>
      </c>
      <c r="D28" s="13">
        <v>9116</v>
      </c>
      <c r="E28" s="13">
        <v>399</v>
      </c>
      <c r="F28" s="13">
        <v>7</v>
      </c>
      <c r="G28" s="13">
        <v>0</v>
      </c>
      <c r="H28" s="13">
        <v>5112</v>
      </c>
      <c r="I28" s="13">
        <v>555</v>
      </c>
      <c r="J28" s="13">
        <v>0</v>
      </c>
      <c r="K28" s="13">
        <v>151</v>
      </c>
      <c r="L28" s="13">
        <v>16</v>
      </c>
      <c r="M28" s="13">
        <v>0</v>
      </c>
      <c r="N28" s="13">
        <v>0.2</v>
      </c>
      <c r="O28" s="13">
        <v>0</v>
      </c>
      <c r="P28" s="13">
        <v>0</v>
      </c>
      <c r="Q28" s="13">
        <v>0</v>
      </c>
      <c r="R28" s="13"/>
      <c r="S28" s="13">
        <v>0</v>
      </c>
      <c r="T28" s="14">
        <v>16212.2</v>
      </c>
    </row>
    <row r="29" spans="1:20" x14ac:dyDescent="0.25">
      <c r="A29" s="12" t="s">
        <v>48</v>
      </c>
      <c r="B29" s="100" t="s">
        <v>102</v>
      </c>
      <c r="C29" s="13">
        <v>679</v>
      </c>
      <c r="D29" s="13">
        <v>7039</v>
      </c>
      <c r="E29" s="13">
        <v>366.6</v>
      </c>
      <c r="F29" s="13">
        <v>4.5</v>
      </c>
      <c r="G29" s="13">
        <v>0</v>
      </c>
      <c r="H29" s="13">
        <v>3936</v>
      </c>
      <c r="I29" s="13">
        <v>374</v>
      </c>
      <c r="J29" s="13">
        <v>0</v>
      </c>
      <c r="K29" s="13">
        <v>100</v>
      </c>
      <c r="L29" s="13">
        <v>11</v>
      </c>
      <c r="M29" s="13">
        <v>0</v>
      </c>
      <c r="N29" s="13">
        <v>3.1</v>
      </c>
      <c r="O29" s="13">
        <v>0</v>
      </c>
      <c r="P29" s="13">
        <v>0</v>
      </c>
      <c r="Q29" s="13">
        <v>0</v>
      </c>
      <c r="R29" s="13"/>
      <c r="S29" s="13">
        <v>0</v>
      </c>
      <c r="T29" s="14">
        <v>12513.2</v>
      </c>
    </row>
    <row r="30" spans="1:20" x14ac:dyDescent="0.25">
      <c r="A30" s="15" t="s">
        <v>49</v>
      </c>
      <c r="B30" s="101" t="s">
        <v>103</v>
      </c>
      <c r="C30" s="16">
        <v>8178</v>
      </c>
      <c r="D30" s="16">
        <v>87131</v>
      </c>
      <c r="E30" s="16">
        <v>3813</v>
      </c>
      <c r="F30" s="16">
        <v>65</v>
      </c>
      <c r="G30" s="16">
        <v>0</v>
      </c>
      <c r="H30" s="16">
        <v>48837</v>
      </c>
      <c r="I30" s="16">
        <v>5301</v>
      </c>
      <c r="J30" s="16">
        <v>0</v>
      </c>
      <c r="K30" s="16">
        <v>1446</v>
      </c>
      <c r="L30" s="16">
        <v>156</v>
      </c>
      <c r="M30" s="16">
        <v>0</v>
      </c>
      <c r="N30" s="16">
        <v>1.2499646828923385</v>
      </c>
      <c r="O30" s="16">
        <v>0</v>
      </c>
      <c r="P30" s="16">
        <v>0</v>
      </c>
      <c r="Q30" s="16">
        <v>0</v>
      </c>
      <c r="R30" s="16"/>
      <c r="S30" s="16">
        <v>0</v>
      </c>
      <c r="T30" s="17">
        <v>154928.24996468288</v>
      </c>
    </row>
    <row r="31" spans="1:20" x14ac:dyDescent="0.25">
      <c r="A31" s="20" t="s">
        <v>50</v>
      </c>
      <c r="B31" s="102" t="s">
        <v>104</v>
      </c>
      <c r="C31" s="21">
        <v>0</v>
      </c>
      <c r="D31" s="21">
        <v>0</v>
      </c>
      <c r="E31" s="21">
        <v>0</v>
      </c>
      <c r="F31" s="21">
        <v>0</v>
      </c>
      <c r="G31" s="21">
        <v>123162</v>
      </c>
      <c r="H31" s="21">
        <f>-46+46</f>
        <v>0</v>
      </c>
      <c r="I31" s="21">
        <v>0</v>
      </c>
      <c r="J31" s="21">
        <v>0</v>
      </c>
      <c r="K31" s="21">
        <v>0</v>
      </c>
      <c r="L31" s="21">
        <v>0</v>
      </c>
      <c r="M31" s="21">
        <v>0</v>
      </c>
      <c r="N31" s="21">
        <v>0</v>
      </c>
      <c r="O31" s="21">
        <v>0</v>
      </c>
      <c r="P31" s="21">
        <v>0</v>
      </c>
      <c r="Q31" s="21">
        <v>0</v>
      </c>
      <c r="R31" s="21"/>
      <c r="S31" s="21">
        <v>0</v>
      </c>
      <c r="T31" s="22">
        <v>123162</v>
      </c>
    </row>
    <row r="32" spans="1:20" x14ac:dyDescent="0.25">
      <c r="A32" s="12" t="s">
        <v>51</v>
      </c>
      <c r="B32" s="100" t="s">
        <v>137</v>
      </c>
      <c r="C32" s="13">
        <v>12998</v>
      </c>
      <c r="D32" s="13">
        <v>133257</v>
      </c>
      <c r="E32" s="13">
        <v>11029</v>
      </c>
      <c r="F32" s="13">
        <v>0</v>
      </c>
      <c r="G32" s="13">
        <v>0</v>
      </c>
      <c r="H32" s="13">
        <v>45677</v>
      </c>
      <c r="I32" s="13">
        <v>2481</v>
      </c>
      <c r="J32" s="13">
        <v>0</v>
      </c>
      <c r="K32" s="13">
        <v>79621</v>
      </c>
      <c r="L32" s="13">
        <v>22256</v>
      </c>
      <c r="M32" s="13">
        <v>127540</v>
      </c>
      <c r="N32" s="13">
        <v>0</v>
      </c>
      <c r="O32" s="13">
        <v>0</v>
      </c>
      <c r="P32" s="13">
        <v>0</v>
      </c>
      <c r="Q32" s="13">
        <v>0</v>
      </c>
      <c r="R32" s="13"/>
      <c r="S32" s="13">
        <v>0</v>
      </c>
      <c r="T32" s="14">
        <v>434859</v>
      </c>
    </row>
    <row r="33" spans="1:20" x14ac:dyDescent="0.25">
      <c r="A33" s="12" t="s">
        <v>52</v>
      </c>
      <c r="B33" s="100" t="s">
        <v>138</v>
      </c>
      <c r="C33" s="13">
        <v>4569</v>
      </c>
      <c r="D33" s="13">
        <v>49003</v>
      </c>
      <c r="E33" s="13">
        <v>312</v>
      </c>
      <c r="F33" s="13">
        <v>0</v>
      </c>
      <c r="G33" s="13">
        <v>25791</v>
      </c>
      <c r="H33" s="13">
        <v>19242</v>
      </c>
      <c r="I33" s="13">
        <v>163</v>
      </c>
      <c r="J33" s="13">
        <v>0</v>
      </c>
      <c r="K33" s="13">
        <v>0</v>
      </c>
      <c r="L33" s="13">
        <v>0</v>
      </c>
      <c r="M33" s="13">
        <v>0</v>
      </c>
      <c r="N33" s="13">
        <v>0</v>
      </c>
      <c r="O33" s="13">
        <v>0</v>
      </c>
      <c r="P33" s="13">
        <v>0</v>
      </c>
      <c r="Q33" s="13">
        <v>0</v>
      </c>
      <c r="R33" s="13"/>
      <c r="S33" s="13">
        <v>0</v>
      </c>
      <c r="T33" s="14">
        <v>99080</v>
      </c>
    </row>
    <row r="34" spans="1:20" x14ac:dyDescent="0.25">
      <c r="A34" s="12" t="s">
        <v>53</v>
      </c>
      <c r="B34" s="100" t="s">
        <v>139</v>
      </c>
      <c r="C34" s="13">
        <v>17819</v>
      </c>
      <c r="D34" s="13">
        <v>168423</v>
      </c>
      <c r="E34" s="13">
        <v>13038</v>
      </c>
      <c r="F34" s="13">
        <v>25</v>
      </c>
      <c r="G34" s="13">
        <v>6440</v>
      </c>
      <c r="H34" s="13">
        <v>232451</v>
      </c>
      <c r="I34" s="13">
        <v>2746</v>
      </c>
      <c r="J34" s="13">
        <v>0</v>
      </c>
      <c r="K34" s="13">
        <v>249162</v>
      </c>
      <c r="L34" s="13">
        <v>0</v>
      </c>
      <c r="M34" s="13">
        <v>0</v>
      </c>
      <c r="N34" s="13">
        <v>83</v>
      </c>
      <c r="O34" s="13">
        <v>0</v>
      </c>
      <c r="P34" s="13">
        <v>0</v>
      </c>
      <c r="Q34" s="13">
        <v>0</v>
      </c>
      <c r="R34" s="13"/>
      <c r="S34" s="13">
        <v>0</v>
      </c>
      <c r="T34" s="14">
        <v>690187</v>
      </c>
    </row>
    <row r="35" spans="1:20" x14ac:dyDescent="0.25">
      <c r="A35" s="12" t="s">
        <v>54</v>
      </c>
      <c r="B35" s="100" t="s">
        <v>140</v>
      </c>
      <c r="C35" s="13">
        <v>3530</v>
      </c>
      <c r="D35" s="13">
        <v>32401</v>
      </c>
      <c r="E35" s="13">
        <v>1611</v>
      </c>
      <c r="F35" s="13">
        <v>6</v>
      </c>
      <c r="G35" s="13">
        <v>5698</v>
      </c>
      <c r="H35" s="13">
        <v>52398</v>
      </c>
      <c r="I35" s="13">
        <v>4078</v>
      </c>
      <c r="J35" s="13">
        <v>0</v>
      </c>
      <c r="K35" s="13">
        <v>26730</v>
      </c>
      <c r="L35" s="13">
        <v>7515</v>
      </c>
      <c r="M35" s="13">
        <v>229</v>
      </c>
      <c r="N35" s="13">
        <v>6</v>
      </c>
      <c r="O35" s="13">
        <v>0</v>
      </c>
      <c r="P35" s="13">
        <v>0</v>
      </c>
      <c r="Q35" s="13">
        <v>0</v>
      </c>
      <c r="R35" s="13"/>
      <c r="S35" s="13">
        <v>0</v>
      </c>
      <c r="T35" s="14">
        <v>134202</v>
      </c>
    </row>
    <row r="36" spans="1:20" x14ac:dyDescent="0.25">
      <c r="A36" s="15" t="s">
        <v>55</v>
      </c>
      <c r="B36" s="101" t="s">
        <v>105</v>
      </c>
      <c r="C36" s="16">
        <v>95</v>
      </c>
      <c r="D36" s="16">
        <v>1364</v>
      </c>
      <c r="E36" s="16">
        <v>233</v>
      </c>
      <c r="F36" s="16">
        <v>0</v>
      </c>
      <c r="G36" s="16">
        <v>0</v>
      </c>
      <c r="H36" s="16">
        <v>15787</v>
      </c>
      <c r="I36" s="16">
        <v>0</v>
      </c>
      <c r="J36" s="16">
        <v>0</v>
      </c>
      <c r="K36" s="16">
        <v>2084</v>
      </c>
      <c r="L36" s="16">
        <v>0</v>
      </c>
      <c r="M36" s="16">
        <v>0</v>
      </c>
      <c r="N36" s="16">
        <v>0</v>
      </c>
      <c r="O36" s="16">
        <v>0</v>
      </c>
      <c r="P36" s="16">
        <v>0</v>
      </c>
      <c r="Q36" s="16">
        <v>0</v>
      </c>
      <c r="R36" s="16"/>
      <c r="S36" s="16">
        <v>0</v>
      </c>
      <c r="T36" s="17">
        <v>19563</v>
      </c>
    </row>
    <row r="37" spans="1:20" x14ac:dyDescent="0.25">
      <c r="A37" s="20" t="s">
        <v>56</v>
      </c>
      <c r="B37" s="102" t="s">
        <v>141</v>
      </c>
      <c r="C37" s="21">
        <v>7352</v>
      </c>
      <c r="D37" s="21">
        <v>64437</v>
      </c>
      <c r="E37" s="21">
        <v>5177</v>
      </c>
      <c r="F37" s="21">
        <v>27</v>
      </c>
      <c r="G37" s="21">
        <v>0</v>
      </c>
      <c r="H37" s="21">
        <v>13206</v>
      </c>
      <c r="I37" s="21">
        <v>523</v>
      </c>
      <c r="J37" s="21">
        <v>0</v>
      </c>
      <c r="K37" s="21">
        <v>59294</v>
      </c>
      <c r="L37" s="21">
        <v>155297</v>
      </c>
      <c r="M37" s="21">
        <v>0</v>
      </c>
      <c r="N37" s="21">
        <v>0</v>
      </c>
      <c r="O37" s="21">
        <v>43461</v>
      </c>
      <c r="P37" s="21">
        <v>0</v>
      </c>
      <c r="Q37" s="21">
        <v>0</v>
      </c>
      <c r="R37" s="21"/>
      <c r="S37" s="21">
        <v>0</v>
      </c>
      <c r="T37" s="22">
        <v>348774</v>
      </c>
    </row>
    <row r="38" spans="1:20" x14ac:dyDescent="0.25">
      <c r="A38" s="12" t="s">
        <v>57</v>
      </c>
      <c r="B38" s="100" t="s">
        <v>142</v>
      </c>
      <c r="C38" s="13">
        <v>253</v>
      </c>
      <c r="D38" s="13">
        <v>2249</v>
      </c>
      <c r="E38" s="13">
        <v>231</v>
      </c>
      <c r="F38" s="13">
        <v>0</v>
      </c>
      <c r="G38" s="13">
        <v>0</v>
      </c>
      <c r="H38" s="13">
        <v>5740</v>
      </c>
      <c r="I38" s="13">
        <v>19</v>
      </c>
      <c r="J38" s="13">
        <v>0</v>
      </c>
      <c r="K38" s="13">
        <v>1183</v>
      </c>
      <c r="L38" s="13">
        <v>0</v>
      </c>
      <c r="M38" s="13">
        <v>0</v>
      </c>
      <c r="N38" s="13">
        <v>9</v>
      </c>
      <c r="O38" s="13">
        <v>0</v>
      </c>
      <c r="P38" s="13">
        <v>0</v>
      </c>
      <c r="Q38" s="13">
        <v>0</v>
      </c>
      <c r="R38" s="13"/>
      <c r="S38" s="13">
        <v>0</v>
      </c>
      <c r="T38" s="14">
        <v>9684</v>
      </c>
    </row>
    <row r="39" spans="1:20" x14ac:dyDescent="0.25">
      <c r="A39" s="12" t="s">
        <v>58</v>
      </c>
      <c r="B39" s="100" t="s">
        <v>143</v>
      </c>
      <c r="C39" s="13">
        <v>2541</v>
      </c>
      <c r="D39" s="13">
        <v>24087</v>
      </c>
      <c r="E39" s="13">
        <v>2019</v>
      </c>
      <c r="F39" s="13">
        <v>0</v>
      </c>
      <c r="G39" s="13">
        <v>0</v>
      </c>
      <c r="H39" s="13">
        <v>15374</v>
      </c>
      <c r="I39" s="13">
        <v>2097</v>
      </c>
      <c r="J39" s="13">
        <v>0</v>
      </c>
      <c r="K39" s="13">
        <v>22026</v>
      </c>
      <c r="L39" s="13">
        <v>23893</v>
      </c>
      <c r="M39" s="13">
        <v>0</v>
      </c>
      <c r="N39" s="13">
        <v>2379</v>
      </c>
      <c r="O39" s="13">
        <v>3218</v>
      </c>
      <c r="P39" s="13">
        <v>0</v>
      </c>
      <c r="Q39" s="13">
        <v>0</v>
      </c>
      <c r="R39" s="13"/>
      <c r="S39" s="13">
        <v>0</v>
      </c>
      <c r="T39" s="14">
        <v>97634</v>
      </c>
    </row>
    <row r="40" spans="1:20" x14ac:dyDescent="0.25">
      <c r="A40" s="12" t="s">
        <v>59</v>
      </c>
      <c r="B40" s="100" t="s">
        <v>144</v>
      </c>
      <c r="C40" s="13">
        <v>1771</v>
      </c>
      <c r="D40" s="13">
        <v>16912</v>
      </c>
      <c r="E40" s="13">
        <v>782</v>
      </c>
      <c r="F40" s="13">
        <v>0</v>
      </c>
      <c r="G40" s="13">
        <v>0</v>
      </c>
      <c r="H40" s="13">
        <v>1869</v>
      </c>
      <c r="I40" s="13">
        <v>4945</v>
      </c>
      <c r="J40" s="13">
        <v>0</v>
      </c>
      <c r="K40" s="13">
        <v>5123</v>
      </c>
      <c r="L40" s="13">
        <v>129233</v>
      </c>
      <c r="M40" s="13">
        <v>0</v>
      </c>
      <c r="N40" s="13">
        <v>0</v>
      </c>
      <c r="O40" s="13">
        <v>0</v>
      </c>
      <c r="P40" s="13">
        <v>244</v>
      </c>
      <c r="Q40" s="13">
        <v>0</v>
      </c>
      <c r="R40" s="13"/>
      <c r="S40" s="13">
        <v>0</v>
      </c>
      <c r="T40" s="14">
        <v>160879</v>
      </c>
    </row>
    <row r="41" spans="1:20" x14ac:dyDescent="0.25">
      <c r="A41" s="12" t="s">
        <v>60</v>
      </c>
      <c r="B41" s="100" t="s">
        <v>145</v>
      </c>
      <c r="C41" s="13">
        <v>10079</v>
      </c>
      <c r="D41" s="13">
        <v>86025</v>
      </c>
      <c r="E41" s="13">
        <v>4604</v>
      </c>
      <c r="F41" s="13">
        <v>1751</v>
      </c>
      <c r="G41" s="13">
        <v>4004</v>
      </c>
      <c r="H41" s="13">
        <v>92977</v>
      </c>
      <c r="I41" s="13">
        <v>8999</v>
      </c>
      <c r="J41" s="13">
        <v>0</v>
      </c>
      <c r="K41" s="13">
        <v>127572</v>
      </c>
      <c r="L41" s="13">
        <v>3</v>
      </c>
      <c r="M41" s="13">
        <v>0</v>
      </c>
      <c r="N41" s="13">
        <v>1112</v>
      </c>
      <c r="O41" s="13">
        <v>0</v>
      </c>
      <c r="P41" s="13">
        <v>0</v>
      </c>
      <c r="Q41" s="13">
        <v>0</v>
      </c>
      <c r="R41" s="13"/>
      <c r="S41" s="13">
        <v>0</v>
      </c>
      <c r="T41" s="14">
        <v>337126</v>
      </c>
    </row>
    <row r="42" spans="1:20" x14ac:dyDescent="0.25">
      <c r="A42" s="12" t="s">
        <v>61</v>
      </c>
      <c r="B42" s="100" t="s">
        <v>146</v>
      </c>
      <c r="C42" s="13">
        <v>0</v>
      </c>
      <c r="D42" s="13">
        <v>0</v>
      </c>
      <c r="E42" s="13">
        <v>0</v>
      </c>
      <c r="F42" s="13">
        <v>0</v>
      </c>
      <c r="G42" s="13">
        <v>0</v>
      </c>
      <c r="H42" s="13">
        <v>0</v>
      </c>
      <c r="I42" s="13">
        <v>0</v>
      </c>
      <c r="J42" s="13">
        <v>0</v>
      </c>
      <c r="K42" s="13">
        <v>0</v>
      </c>
      <c r="L42" s="13">
        <v>0</v>
      </c>
      <c r="M42" s="13">
        <v>0</v>
      </c>
      <c r="N42" s="13">
        <v>0</v>
      </c>
      <c r="O42" s="13">
        <v>0</v>
      </c>
      <c r="P42" s="13">
        <v>0</v>
      </c>
      <c r="Q42" s="13">
        <v>0</v>
      </c>
      <c r="R42" s="13"/>
      <c r="S42" s="13">
        <v>0</v>
      </c>
      <c r="T42" s="14">
        <v>0</v>
      </c>
    </row>
    <row r="43" spans="1:20" x14ac:dyDescent="0.25">
      <c r="A43" s="15" t="s">
        <v>62</v>
      </c>
      <c r="B43" s="101" t="s">
        <v>144</v>
      </c>
      <c r="C43" s="16">
        <v>0</v>
      </c>
      <c r="D43" s="16">
        <v>1</v>
      </c>
      <c r="E43" s="16">
        <v>0</v>
      </c>
      <c r="F43" s="16">
        <v>0</v>
      </c>
      <c r="G43" s="16">
        <v>0</v>
      </c>
      <c r="H43" s="16">
        <v>0</v>
      </c>
      <c r="I43" s="16">
        <v>0</v>
      </c>
      <c r="J43" s="16">
        <v>0</v>
      </c>
      <c r="K43" s="16">
        <v>0</v>
      </c>
      <c r="L43" s="16">
        <v>0</v>
      </c>
      <c r="M43" s="16">
        <v>0</v>
      </c>
      <c r="N43" s="16">
        <v>0</v>
      </c>
      <c r="O43" s="16">
        <v>0</v>
      </c>
      <c r="P43" s="16">
        <v>0</v>
      </c>
      <c r="Q43" s="16">
        <v>0</v>
      </c>
      <c r="R43" s="16"/>
      <c r="S43" s="16">
        <v>0</v>
      </c>
      <c r="T43" s="17">
        <v>1</v>
      </c>
    </row>
    <row r="44" spans="1:20" x14ac:dyDescent="0.25">
      <c r="A44" s="20" t="s">
        <v>63</v>
      </c>
      <c r="B44" s="102" t="s">
        <v>147</v>
      </c>
      <c r="C44" s="21">
        <v>3646</v>
      </c>
      <c r="D44" s="21">
        <v>35061</v>
      </c>
      <c r="E44" s="21">
        <v>1451</v>
      </c>
      <c r="F44" s="21">
        <v>0</v>
      </c>
      <c r="G44" s="21">
        <v>0</v>
      </c>
      <c r="H44" s="21">
        <v>14405</v>
      </c>
      <c r="I44" s="21">
        <v>10794</v>
      </c>
      <c r="J44" s="21">
        <v>0</v>
      </c>
      <c r="K44" s="21">
        <v>2828</v>
      </c>
      <c r="L44" s="21">
        <v>0</v>
      </c>
      <c r="M44" s="21">
        <v>0</v>
      </c>
      <c r="N44" s="21">
        <v>0</v>
      </c>
      <c r="O44" s="21">
        <v>0</v>
      </c>
      <c r="P44" s="21">
        <v>0</v>
      </c>
      <c r="Q44" s="21">
        <v>0</v>
      </c>
      <c r="R44" s="21"/>
      <c r="S44" s="21">
        <v>0</v>
      </c>
      <c r="T44" s="22">
        <v>68185</v>
      </c>
    </row>
    <row r="45" spans="1:20" x14ac:dyDescent="0.25">
      <c r="A45" s="12" t="s">
        <v>64</v>
      </c>
      <c r="B45" s="100" t="s">
        <v>148</v>
      </c>
      <c r="C45" s="13">
        <v>979</v>
      </c>
      <c r="D45" s="13">
        <v>9190</v>
      </c>
      <c r="E45" s="13">
        <v>859</v>
      </c>
      <c r="F45" s="13">
        <v>11</v>
      </c>
      <c r="G45" s="13">
        <v>0</v>
      </c>
      <c r="H45" s="13">
        <v>29458</v>
      </c>
      <c r="I45" s="13">
        <v>30232</v>
      </c>
      <c r="J45" s="21">
        <v>0</v>
      </c>
      <c r="K45" s="13">
        <v>13655</v>
      </c>
      <c r="L45" s="13">
        <v>17028</v>
      </c>
      <c r="M45" s="13">
        <v>0</v>
      </c>
      <c r="N45" s="13">
        <v>0</v>
      </c>
      <c r="O45" s="13">
        <v>7000</v>
      </c>
      <c r="P45" s="13">
        <v>0</v>
      </c>
      <c r="Q45" s="13">
        <v>0</v>
      </c>
      <c r="R45" s="13"/>
      <c r="S45" s="13">
        <v>0</v>
      </c>
      <c r="T45" s="14">
        <v>108412</v>
      </c>
    </row>
    <row r="46" spans="1:20" x14ac:dyDescent="0.25">
      <c r="A46" s="12" t="s">
        <v>65</v>
      </c>
      <c r="B46" s="100" t="s">
        <v>106</v>
      </c>
      <c r="C46" s="13">
        <v>5471</v>
      </c>
      <c r="D46" s="13">
        <v>49565</v>
      </c>
      <c r="E46" s="13">
        <v>3268</v>
      </c>
      <c r="F46" s="13">
        <v>21</v>
      </c>
      <c r="G46" s="13">
        <v>0</v>
      </c>
      <c r="H46" s="13">
        <v>59684</v>
      </c>
      <c r="I46" s="13">
        <v>16732</v>
      </c>
      <c r="J46" s="21">
        <v>0</v>
      </c>
      <c r="K46" s="13">
        <v>5900</v>
      </c>
      <c r="L46" s="13">
        <v>30814</v>
      </c>
      <c r="M46" s="13">
        <v>0</v>
      </c>
      <c r="N46" s="13">
        <v>32315</v>
      </c>
      <c r="O46" s="13">
        <v>0</v>
      </c>
      <c r="P46" s="13">
        <v>1440</v>
      </c>
      <c r="Q46" s="13">
        <v>0</v>
      </c>
      <c r="R46" s="13"/>
      <c r="S46" s="13">
        <v>0</v>
      </c>
      <c r="T46" s="14">
        <v>205210</v>
      </c>
    </row>
    <row r="47" spans="1:20" x14ac:dyDescent="0.25">
      <c r="A47" s="12" t="s">
        <v>66</v>
      </c>
      <c r="B47" s="100" t="s">
        <v>107</v>
      </c>
      <c r="C47" s="13">
        <v>136</v>
      </c>
      <c r="D47" s="13">
        <v>1325</v>
      </c>
      <c r="E47" s="13">
        <v>1</v>
      </c>
      <c r="F47" s="13">
        <v>0</v>
      </c>
      <c r="G47" s="13">
        <v>0</v>
      </c>
      <c r="H47" s="13">
        <v>1260</v>
      </c>
      <c r="I47" s="13">
        <v>323</v>
      </c>
      <c r="J47" s="13">
        <v>0</v>
      </c>
      <c r="K47" s="13">
        <v>359</v>
      </c>
      <c r="L47" s="13">
        <v>0</v>
      </c>
      <c r="M47" s="13">
        <v>0</v>
      </c>
      <c r="N47" s="13">
        <v>0</v>
      </c>
      <c r="O47" s="13">
        <v>3823</v>
      </c>
      <c r="P47" s="13">
        <v>0</v>
      </c>
      <c r="Q47" s="13">
        <v>0</v>
      </c>
      <c r="R47" s="13"/>
      <c r="S47" s="13">
        <v>0</v>
      </c>
      <c r="T47" s="14">
        <v>7227</v>
      </c>
    </row>
    <row r="48" spans="1:20" x14ac:dyDescent="0.25">
      <c r="A48" s="15" t="s">
        <v>67</v>
      </c>
      <c r="B48" s="101" t="s">
        <v>108</v>
      </c>
      <c r="C48" s="16">
        <v>392</v>
      </c>
      <c r="D48" s="16">
        <v>4480</v>
      </c>
      <c r="E48" s="16">
        <f>143-1</f>
        <v>142</v>
      </c>
      <c r="F48" s="16">
        <f>-1+1</f>
        <v>0</v>
      </c>
      <c r="G48" s="16">
        <v>0</v>
      </c>
      <c r="H48" s="16">
        <v>1840</v>
      </c>
      <c r="I48" s="16">
        <v>23</v>
      </c>
      <c r="J48" s="16">
        <v>0</v>
      </c>
      <c r="K48" s="16">
        <v>3329</v>
      </c>
      <c r="L48" s="16">
        <v>0</v>
      </c>
      <c r="M48" s="16">
        <v>0</v>
      </c>
      <c r="N48" s="16">
        <v>0</v>
      </c>
      <c r="O48" s="16">
        <v>0</v>
      </c>
      <c r="P48" s="16">
        <v>0</v>
      </c>
      <c r="Q48" s="16">
        <v>0</v>
      </c>
      <c r="R48" s="16"/>
      <c r="S48" s="16">
        <v>0</v>
      </c>
      <c r="T48" s="17">
        <v>10206</v>
      </c>
    </row>
    <row r="49" spans="1:20" x14ac:dyDescent="0.25">
      <c r="A49" s="20" t="s">
        <v>68</v>
      </c>
      <c r="B49" s="102" t="s">
        <v>149</v>
      </c>
      <c r="C49" s="21">
        <v>589</v>
      </c>
      <c r="D49" s="21">
        <v>5523</v>
      </c>
      <c r="E49" s="21">
        <v>411</v>
      </c>
      <c r="F49" s="21">
        <v>0</v>
      </c>
      <c r="G49" s="21">
        <v>0</v>
      </c>
      <c r="H49" s="21">
        <v>7676</v>
      </c>
      <c r="I49" s="21">
        <v>336</v>
      </c>
      <c r="J49" s="21">
        <v>0</v>
      </c>
      <c r="K49" s="21">
        <v>790</v>
      </c>
      <c r="L49" s="21">
        <v>0</v>
      </c>
      <c r="M49" s="21">
        <v>0</v>
      </c>
      <c r="N49" s="21">
        <v>13</v>
      </c>
      <c r="O49" s="21">
        <v>0</v>
      </c>
      <c r="P49" s="21">
        <v>0</v>
      </c>
      <c r="Q49" s="21">
        <v>0</v>
      </c>
      <c r="R49" s="21"/>
      <c r="S49" s="21">
        <v>0</v>
      </c>
      <c r="T49" s="22">
        <v>15338</v>
      </c>
    </row>
    <row r="50" spans="1:20" x14ac:dyDescent="0.25">
      <c r="A50" s="23" t="s">
        <v>69</v>
      </c>
      <c r="B50" s="100" t="s">
        <v>150</v>
      </c>
      <c r="C50" s="21">
        <v>0</v>
      </c>
      <c r="D50" s="21">
        <v>0</v>
      </c>
      <c r="E50" s="21">
        <v>0</v>
      </c>
      <c r="F50" s="21">
        <v>0</v>
      </c>
      <c r="G50" s="21">
        <v>0</v>
      </c>
      <c r="H50" s="21">
        <v>0</v>
      </c>
      <c r="I50" s="21">
        <v>0</v>
      </c>
      <c r="J50" s="21">
        <v>0</v>
      </c>
      <c r="K50" s="21">
        <v>0</v>
      </c>
      <c r="L50" s="21">
        <v>0</v>
      </c>
      <c r="M50" s="21">
        <v>0</v>
      </c>
      <c r="N50" s="21">
        <v>0</v>
      </c>
      <c r="O50" s="21">
        <v>0</v>
      </c>
      <c r="P50" s="21">
        <v>0</v>
      </c>
      <c r="Q50" s="21">
        <v>0</v>
      </c>
      <c r="R50" s="21"/>
      <c r="S50" s="21">
        <v>0</v>
      </c>
      <c r="T50" s="14">
        <v>0</v>
      </c>
    </row>
    <row r="51" spans="1:20" x14ac:dyDescent="0.25">
      <c r="A51" s="12" t="s">
        <v>70</v>
      </c>
      <c r="B51" s="100" t="s">
        <v>151</v>
      </c>
      <c r="C51" s="13">
        <v>116</v>
      </c>
      <c r="D51" s="13">
        <v>1030</v>
      </c>
      <c r="E51" s="13">
        <v>106</v>
      </c>
      <c r="F51" s="13">
        <v>0</v>
      </c>
      <c r="G51" s="13">
        <v>0</v>
      </c>
      <c r="H51" s="13">
        <v>727</v>
      </c>
      <c r="I51" s="13">
        <v>87</v>
      </c>
      <c r="J51" s="13">
        <v>0</v>
      </c>
      <c r="K51" s="13">
        <v>204</v>
      </c>
      <c r="L51" s="13">
        <v>0</v>
      </c>
      <c r="M51" s="13">
        <v>0</v>
      </c>
      <c r="N51" s="13">
        <v>504</v>
      </c>
      <c r="O51" s="13">
        <v>0</v>
      </c>
      <c r="P51" s="13">
        <v>0</v>
      </c>
      <c r="Q51" s="13">
        <v>0</v>
      </c>
      <c r="R51" s="13"/>
      <c r="S51" s="13">
        <v>0</v>
      </c>
      <c r="T51" s="14">
        <v>2774</v>
      </c>
    </row>
    <row r="52" spans="1:20" x14ac:dyDescent="0.25">
      <c r="A52" s="24" t="s">
        <v>71</v>
      </c>
      <c r="B52" s="100" t="s">
        <v>152</v>
      </c>
      <c r="C52" s="25">
        <v>28</v>
      </c>
      <c r="D52" s="25">
        <v>244</v>
      </c>
      <c r="E52" s="25">
        <v>25</v>
      </c>
      <c r="F52" s="25">
        <v>0</v>
      </c>
      <c r="G52" s="25">
        <v>0</v>
      </c>
      <c r="H52" s="25">
        <v>173</v>
      </c>
      <c r="I52" s="25">
        <v>21</v>
      </c>
      <c r="J52" s="25">
        <v>0</v>
      </c>
      <c r="K52" s="25">
        <v>48</v>
      </c>
      <c r="L52" s="25">
        <v>0</v>
      </c>
      <c r="M52" s="25">
        <v>0</v>
      </c>
      <c r="N52" s="25">
        <v>1</v>
      </c>
      <c r="O52" s="25">
        <v>0</v>
      </c>
      <c r="P52" s="25">
        <v>0</v>
      </c>
      <c r="Q52" s="25">
        <v>0</v>
      </c>
      <c r="R52" s="25"/>
      <c r="S52" s="25">
        <v>0</v>
      </c>
      <c r="T52" s="14">
        <v>540</v>
      </c>
    </row>
    <row r="53" spans="1:20" x14ac:dyDescent="0.25">
      <c r="A53" s="15" t="s">
        <v>72</v>
      </c>
      <c r="B53" s="101" t="s">
        <v>109</v>
      </c>
      <c r="C53" s="16">
        <v>722</v>
      </c>
      <c r="D53" s="16">
        <v>6750</v>
      </c>
      <c r="E53" s="16">
        <v>505</v>
      </c>
      <c r="F53" s="16">
        <v>1</v>
      </c>
      <c r="G53" s="16">
        <v>0</v>
      </c>
      <c r="H53" s="16">
        <v>4280</v>
      </c>
      <c r="I53" s="16">
        <v>423</v>
      </c>
      <c r="J53" s="16">
        <v>0</v>
      </c>
      <c r="K53" s="16">
        <v>760</v>
      </c>
      <c r="L53" s="16">
        <v>0</v>
      </c>
      <c r="M53" s="16">
        <v>0</v>
      </c>
      <c r="N53" s="16">
        <v>13</v>
      </c>
      <c r="O53" s="16">
        <v>0</v>
      </c>
      <c r="P53" s="16">
        <v>0</v>
      </c>
      <c r="Q53" s="16">
        <v>0</v>
      </c>
      <c r="R53" s="16"/>
      <c r="S53" s="16">
        <v>0</v>
      </c>
      <c r="T53" s="17">
        <v>13454</v>
      </c>
    </row>
    <row r="54" spans="1:20" x14ac:dyDescent="0.25">
      <c r="A54" s="20" t="s">
        <v>73</v>
      </c>
      <c r="B54" s="102" t="s">
        <v>110</v>
      </c>
      <c r="C54" s="21">
        <v>6633</v>
      </c>
      <c r="D54" s="21">
        <v>61121</v>
      </c>
      <c r="E54" s="21">
        <v>3520</v>
      </c>
      <c r="F54" s="21">
        <v>0</v>
      </c>
      <c r="G54" s="21">
        <v>0</v>
      </c>
      <c r="H54" s="21">
        <v>44668</v>
      </c>
      <c r="I54" s="21">
        <v>5084</v>
      </c>
      <c r="J54" s="21">
        <v>0</v>
      </c>
      <c r="K54" s="21">
        <v>19739</v>
      </c>
      <c r="L54" s="21">
        <v>1030</v>
      </c>
      <c r="M54" s="21">
        <v>0</v>
      </c>
      <c r="N54" s="21">
        <v>0</v>
      </c>
      <c r="O54" s="21">
        <v>0</v>
      </c>
      <c r="P54" s="21">
        <v>0</v>
      </c>
      <c r="Q54" s="21">
        <v>0</v>
      </c>
      <c r="R54" s="73"/>
      <c r="S54" s="73">
        <v>0</v>
      </c>
      <c r="T54" s="22">
        <v>141795</v>
      </c>
    </row>
    <row r="55" spans="1:20" x14ac:dyDescent="0.25">
      <c r="A55" s="15" t="s">
        <v>74</v>
      </c>
      <c r="B55" s="101" t="s">
        <v>111</v>
      </c>
      <c r="C55" s="16">
        <v>1008</v>
      </c>
      <c r="D55" s="16">
        <v>9258</v>
      </c>
      <c r="E55" s="16">
        <v>547</v>
      </c>
      <c r="F55" s="16">
        <v>0</v>
      </c>
      <c r="G55" s="16">
        <v>0</v>
      </c>
      <c r="H55" s="16">
        <v>8196</v>
      </c>
      <c r="I55" s="16">
        <v>601</v>
      </c>
      <c r="J55" s="16">
        <v>0</v>
      </c>
      <c r="K55" s="16">
        <v>1381</v>
      </c>
      <c r="L55" s="16">
        <v>6076</v>
      </c>
      <c r="M55" s="16">
        <v>0</v>
      </c>
      <c r="N55" s="16">
        <v>389</v>
      </c>
      <c r="O55" s="16">
        <v>0</v>
      </c>
      <c r="P55" s="16">
        <v>0</v>
      </c>
      <c r="Q55" s="16">
        <v>0</v>
      </c>
      <c r="R55" s="16"/>
      <c r="S55" s="16">
        <v>0</v>
      </c>
      <c r="T55" s="122">
        <v>27456</v>
      </c>
    </row>
    <row r="56" spans="1:20" x14ac:dyDescent="0.25">
      <c r="A56" s="20" t="s">
        <v>75</v>
      </c>
      <c r="B56" s="102" t="s">
        <v>112</v>
      </c>
      <c r="C56" s="21">
        <v>2117</v>
      </c>
      <c r="D56" s="21">
        <v>18773</v>
      </c>
      <c r="E56" s="21">
        <v>1929</v>
      </c>
      <c r="F56" s="21">
        <v>0</v>
      </c>
      <c r="G56" s="21">
        <v>0</v>
      </c>
      <c r="H56" s="21">
        <v>13260</v>
      </c>
      <c r="I56" s="21">
        <v>1580</v>
      </c>
      <c r="J56" s="21">
        <v>0</v>
      </c>
      <c r="K56" s="21">
        <v>3711</v>
      </c>
      <c r="L56" s="21">
        <v>0</v>
      </c>
      <c r="M56" s="21">
        <v>0</v>
      </c>
      <c r="N56" s="21">
        <v>62</v>
      </c>
      <c r="O56" s="21">
        <v>0</v>
      </c>
      <c r="P56" s="21">
        <v>0</v>
      </c>
      <c r="Q56" s="21">
        <v>0</v>
      </c>
      <c r="R56" s="73"/>
      <c r="S56" s="73">
        <v>0</v>
      </c>
      <c r="T56" s="22">
        <v>41432</v>
      </c>
    </row>
    <row r="57" spans="1:20" x14ac:dyDescent="0.25">
      <c r="A57" s="15" t="s">
        <v>76</v>
      </c>
      <c r="B57" s="101" t="s">
        <v>113</v>
      </c>
      <c r="C57" s="16">
        <v>2933</v>
      </c>
      <c r="D57" s="16">
        <v>28884</v>
      </c>
      <c r="E57" s="16">
        <v>2941</v>
      </c>
      <c r="F57" s="16">
        <v>0</v>
      </c>
      <c r="G57" s="16">
        <v>0</v>
      </c>
      <c r="H57" s="16">
        <v>-33425</v>
      </c>
      <c r="I57" s="16">
        <v>8144</v>
      </c>
      <c r="J57" s="16">
        <v>0</v>
      </c>
      <c r="K57" s="16">
        <v>3</v>
      </c>
      <c r="L57" s="16">
        <v>0</v>
      </c>
      <c r="M57" s="16">
        <v>0</v>
      </c>
      <c r="N57" s="16">
        <v>0</v>
      </c>
      <c r="O57" s="16">
        <v>1968</v>
      </c>
      <c r="P57" s="16">
        <v>0</v>
      </c>
      <c r="Q57" s="16">
        <v>0</v>
      </c>
      <c r="R57" s="16"/>
      <c r="S57" s="16">
        <v>0</v>
      </c>
      <c r="T57" s="122">
        <v>11448</v>
      </c>
    </row>
    <row r="58" spans="1:20" x14ac:dyDescent="0.25">
      <c r="A58" s="20" t="s">
        <v>77</v>
      </c>
      <c r="B58" s="102" t="s">
        <v>153</v>
      </c>
      <c r="C58" s="21">
        <v>4668.7138637290482</v>
      </c>
      <c r="D58" s="21">
        <v>47099.465500147278</v>
      </c>
      <c r="E58" s="21">
        <v>4493.3197505314529</v>
      </c>
      <c r="F58" s="21">
        <v>24.747961632694064</v>
      </c>
      <c r="G58" s="21">
        <v>0</v>
      </c>
      <c r="H58" s="21">
        <v>146767.10084624309</v>
      </c>
      <c r="I58" s="21">
        <v>117263.79635582975</v>
      </c>
      <c r="J58" s="21">
        <v>0</v>
      </c>
      <c r="K58" s="21">
        <v>22886.917867293374</v>
      </c>
      <c r="L58" s="21">
        <v>3447.2250083593826</v>
      </c>
      <c r="M58" s="21">
        <v>0</v>
      </c>
      <c r="N58" s="21">
        <v>0</v>
      </c>
      <c r="O58" s="21">
        <v>0</v>
      </c>
      <c r="P58" s="21">
        <v>556.03603214514874</v>
      </c>
      <c r="Q58" s="21">
        <v>0</v>
      </c>
      <c r="R58" s="73"/>
      <c r="S58" s="73">
        <v>0</v>
      </c>
      <c r="T58" s="22">
        <v>347207.32318591117</v>
      </c>
    </row>
    <row r="59" spans="1:20" x14ac:dyDescent="0.25">
      <c r="A59" s="12" t="s">
        <v>78</v>
      </c>
      <c r="B59" s="100" t="s">
        <v>154</v>
      </c>
      <c r="C59" s="13">
        <v>1336.9377016926551</v>
      </c>
      <c r="D59" s="13">
        <v>15598.144462152162</v>
      </c>
      <c r="E59" s="13">
        <v>1238.4911405568203</v>
      </c>
      <c r="F59" s="13">
        <v>14.581231895805695</v>
      </c>
      <c r="G59" s="13">
        <v>0</v>
      </c>
      <c r="H59" s="13">
        <v>38937.45451314644</v>
      </c>
      <c r="I59" s="13">
        <v>23094.867572771836</v>
      </c>
      <c r="J59" s="13">
        <v>0</v>
      </c>
      <c r="K59" s="13">
        <v>4315.0503361038109</v>
      </c>
      <c r="L59" s="13">
        <v>684.80654169073694</v>
      </c>
      <c r="M59" s="13">
        <v>0</v>
      </c>
      <c r="N59" s="13">
        <v>0</v>
      </c>
      <c r="O59" s="13">
        <v>0</v>
      </c>
      <c r="P59" s="13">
        <v>104.7473050866421</v>
      </c>
      <c r="Q59" s="13">
        <v>0</v>
      </c>
      <c r="R59" s="13"/>
      <c r="S59" s="13">
        <v>0</v>
      </c>
      <c r="T59" s="14">
        <v>85325.080805096906</v>
      </c>
    </row>
    <row r="60" spans="1:20" x14ac:dyDescent="0.25">
      <c r="A60" s="12" t="s">
        <v>79</v>
      </c>
      <c r="B60" s="100" t="s">
        <v>155</v>
      </c>
      <c r="C60" s="13">
        <v>400</v>
      </c>
      <c r="D60" s="13">
        <v>4086</v>
      </c>
      <c r="E60" s="13">
        <v>378</v>
      </c>
      <c r="F60" s="13">
        <v>0</v>
      </c>
      <c r="G60" s="13">
        <v>0</v>
      </c>
      <c r="H60" s="13">
        <v>5953</v>
      </c>
      <c r="I60" s="13">
        <v>7058</v>
      </c>
      <c r="J60" s="13">
        <v>0</v>
      </c>
      <c r="K60" s="13">
        <v>1</v>
      </c>
      <c r="L60" s="13">
        <v>0</v>
      </c>
      <c r="M60" s="13">
        <v>0</v>
      </c>
      <c r="N60" s="13">
        <v>0</v>
      </c>
      <c r="O60" s="13">
        <v>732</v>
      </c>
      <c r="P60" s="13">
        <v>0</v>
      </c>
      <c r="Q60" s="13">
        <v>0</v>
      </c>
      <c r="R60" s="13"/>
      <c r="S60" s="13">
        <v>0</v>
      </c>
      <c r="T60" s="14">
        <v>18608</v>
      </c>
    </row>
    <row r="61" spans="1:20" x14ac:dyDescent="0.25">
      <c r="A61" s="12" t="s">
        <v>80</v>
      </c>
      <c r="B61" s="100" t="s">
        <v>156</v>
      </c>
      <c r="C61" s="13">
        <v>645.54066384709677</v>
      </c>
      <c r="D61" s="13">
        <v>6515.9938477032993</v>
      </c>
      <c r="E61" s="13">
        <v>622.04530120835443</v>
      </c>
      <c r="F61" s="13">
        <v>3.3661285543359876</v>
      </c>
      <c r="G61" s="13">
        <v>0</v>
      </c>
      <c r="H61" s="13">
        <v>20327.861497773723</v>
      </c>
      <c r="I61" s="13">
        <v>16243.805456412927</v>
      </c>
      <c r="J61" s="13">
        <v>0</v>
      </c>
      <c r="K61" s="13">
        <v>129.25495089861647</v>
      </c>
      <c r="L61" s="13">
        <v>477.45506111185949</v>
      </c>
      <c r="M61" s="13">
        <v>0</v>
      </c>
      <c r="N61" s="13">
        <v>0</v>
      </c>
      <c r="O61" s="13">
        <v>0</v>
      </c>
      <c r="P61" s="13">
        <v>76.964646772127466</v>
      </c>
      <c r="Q61" s="13">
        <v>0</v>
      </c>
      <c r="R61" s="13"/>
      <c r="S61" s="13">
        <v>0</v>
      </c>
      <c r="T61" s="14">
        <v>45042.287554282346</v>
      </c>
    </row>
    <row r="62" spans="1:20" x14ac:dyDescent="0.25">
      <c r="A62" s="123" t="s">
        <v>179</v>
      </c>
      <c r="B62" s="100" t="s">
        <v>180</v>
      </c>
      <c r="C62" s="13">
        <v>85.961590772918214</v>
      </c>
      <c r="D62" s="13">
        <v>843.83587052338794</v>
      </c>
      <c r="E62" s="13">
        <v>82.799592933416463</v>
      </c>
      <c r="F62" s="13">
        <v>0.44805425108251978</v>
      </c>
      <c r="G62" s="13">
        <v>0</v>
      </c>
      <c r="H62" s="13">
        <v>2705.8375787450927</v>
      </c>
      <c r="I62" s="13">
        <v>2162.1591460236705</v>
      </c>
      <c r="J62" s="13">
        <v>0</v>
      </c>
      <c r="K62" s="13">
        <v>17.204699490454132</v>
      </c>
      <c r="L62" s="13">
        <v>63.552465801245233</v>
      </c>
      <c r="M62" s="13">
        <v>0</v>
      </c>
      <c r="N62" s="13">
        <v>0</v>
      </c>
      <c r="O62" s="13">
        <v>0</v>
      </c>
      <c r="P62" s="13">
        <v>10.244509861305261</v>
      </c>
      <c r="Q62" s="13">
        <v>0</v>
      </c>
      <c r="R62" s="13"/>
      <c r="S62" s="13"/>
      <c r="T62" s="14">
        <v>5972.043508402573</v>
      </c>
    </row>
    <row r="63" spans="1:20" x14ac:dyDescent="0.25">
      <c r="A63" s="12" t="s">
        <v>81</v>
      </c>
      <c r="B63" s="100" t="s">
        <v>157</v>
      </c>
      <c r="C63" s="13">
        <v>6866.1223407171346</v>
      </c>
      <c r="D63" s="13">
        <v>69296.18236215791</v>
      </c>
      <c r="E63" s="13">
        <v>6613.8250567808209</v>
      </c>
      <c r="F63" s="13">
        <v>40.418724918276617</v>
      </c>
      <c r="G63" s="13">
        <v>4425</v>
      </c>
      <c r="H63" s="13">
        <v>216125.06850199681</v>
      </c>
      <c r="I63" s="13">
        <v>172699.89191785557</v>
      </c>
      <c r="J63" s="13">
        <v>0</v>
      </c>
      <c r="K63" s="13">
        <v>1374.9600105341826</v>
      </c>
      <c r="L63" s="13">
        <v>5076.1669116587891</v>
      </c>
      <c r="M63" s="13">
        <v>0</v>
      </c>
      <c r="N63" s="13">
        <v>0</v>
      </c>
      <c r="O63" s="13">
        <v>0</v>
      </c>
      <c r="P63" s="13">
        <v>818.26631474464375</v>
      </c>
      <c r="Q63" s="13">
        <v>0</v>
      </c>
      <c r="R63" s="13"/>
      <c r="S63" s="13">
        <v>0</v>
      </c>
      <c r="T63" s="14">
        <v>483335.90214136412</v>
      </c>
    </row>
    <row r="64" spans="1:20" x14ac:dyDescent="0.25">
      <c r="A64" s="12" t="s">
        <v>82</v>
      </c>
      <c r="B64" s="100" t="s">
        <v>158</v>
      </c>
      <c r="C64" s="13">
        <v>467.72383924114808</v>
      </c>
      <c r="D64" s="13">
        <v>5036.377957316</v>
      </c>
      <c r="E64" s="13">
        <v>450.51915798913586</v>
      </c>
      <c r="F64" s="13">
        <v>2.4378987478051202</v>
      </c>
      <c r="G64" s="13">
        <v>0</v>
      </c>
      <c r="H64" s="13">
        <v>17399.677062094845</v>
      </c>
      <c r="I64" s="13">
        <v>11764.479551106173</v>
      </c>
      <c r="J64" s="13">
        <v>0</v>
      </c>
      <c r="K64" s="13">
        <v>93.612135679562314</v>
      </c>
      <c r="L64" s="13">
        <v>345.79401137798521</v>
      </c>
      <c r="M64" s="13">
        <v>0</v>
      </c>
      <c r="N64" s="13">
        <v>0</v>
      </c>
      <c r="O64" s="13">
        <v>0</v>
      </c>
      <c r="P64" s="13">
        <v>55.741191390132691</v>
      </c>
      <c r="Q64" s="13">
        <v>0</v>
      </c>
      <c r="R64" s="13"/>
      <c r="S64" s="13">
        <v>0</v>
      </c>
      <c r="T64" s="14">
        <v>35616.362804942786</v>
      </c>
    </row>
    <row r="65" spans="1:20" x14ac:dyDescent="0.25">
      <c r="A65" s="15" t="s">
        <v>83</v>
      </c>
      <c r="B65" s="101" t="s">
        <v>114</v>
      </c>
      <c r="C65" s="16">
        <v>1354</v>
      </c>
      <c r="D65" s="16">
        <v>10280</v>
      </c>
      <c r="E65" s="16">
        <v>484</v>
      </c>
      <c r="F65" s="16">
        <v>0</v>
      </c>
      <c r="G65" s="16">
        <v>0</v>
      </c>
      <c r="H65" s="16">
        <v>-10064</v>
      </c>
      <c r="I65" s="16">
        <v>9369</v>
      </c>
      <c r="J65" s="16">
        <v>0</v>
      </c>
      <c r="K65" s="16">
        <v>214</v>
      </c>
      <c r="L65" s="16">
        <v>0</v>
      </c>
      <c r="M65" s="16">
        <v>0</v>
      </c>
      <c r="N65" s="16">
        <v>0</v>
      </c>
      <c r="O65" s="16">
        <v>0</v>
      </c>
      <c r="P65" s="16">
        <v>0</v>
      </c>
      <c r="Q65" s="16">
        <v>0</v>
      </c>
      <c r="R65" s="16"/>
      <c r="S65" s="16">
        <v>0</v>
      </c>
      <c r="T65" s="17">
        <v>11637</v>
      </c>
    </row>
    <row r="66" spans="1:20" x14ac:dyDescent="0.25">
      <c r="A66" s="20" t="s">
        <v>84</v>
      </c>
      <c r="B66" s="102" t="s">
        <v>115</v>
      </c>
      <c r="C66" s="21">
        <v>1042</v>
      </c>
      <c r="D66" s="21">
        <v>11581</v>
      </c>
      <c r="E66" s="21">
        <v>415</v>
      </c>
      <c r="F66" s="21">
        <v>0</v>
      </c>
      <c r="G66" s="21">
        <v>0</v>
      </c>
      <c r="H66" s="21">
        <v>84745</v>
      </c>
      <c r="I66" s="21">
        <v>1896</v>
      </c>
      <c r="J66" s="21">
        <v>0</v>
      </c>
      <c r="K66" s="21">
        <v>10081</v>
      </c>
      <c r="L66" s="21">
        <v>0</v>
      </c>
      <c r="M66" s="21">
        <v>0</v>
      </c>
      <c r="N66" s="21">
        <v>0</v>
      </c>
      <c r="O66" s="21">
        <v>0</v>
      </c>
      <c r="P66" s="21">
        <v>0</v>
      </c>
      <c r="Q66" s="21">
        <v>0</v>
      </c>
      <c r="R66" s="21"/>
      <c r="S66" s="21">
        <v>0</v>
      </c>
      <c r="T66" s="22">
        <v>109760</v>
      </c>
    </row>
    <row r="67" spans="1:20" x14ac:dyDescent="0.25">
      <c r="A67" s="12" t="s">
        <v>85</v>
      </c>
      <c r="B67" s="100" t="s">
        <v>159</v>
      </c>
      <c r="C67" s="13">
        <v>3895</v>
      </c>
      <c r="D67" s="13">
        <v>32437</v>
      </c>
      <c r="E67" s="13">
        <v>2902</v>
      </c>
      <c r="F67" s="13">
        <v>0</v>
      </c>
      <c r="G67" s="13">
        <v>0</v>
      </c>
      <c r="H67" s="13">
        <v>17099</v>
      </c>
      <c r="I67" s="13">
        <v>1015</v>
      </c>
      <c r="J67" s="13">
        <v>0</v>
      </c>
      <c r="K67" s="13">
        <v>2216</v>
      </c>
      <c r="L67" s="13">
        <v>0</v>
      </c>
      <c r="M67" s="13">
        <v>0</v>
      </c>
      <c r="N67" s="13">
        <v>0</v>
      </c>
      <c r="O67" s="13">
        <v>0</v>
      </c>
      <c r="P67" s="13">
        <v>0</v>
      </c>
      <c r="Q67" s="13">
        <v>0</v>
      </c>
      <c r="R67" s="13"/>
      <c r="S67" s="13">
        <v>0</v>
      </c>
      <c r="T67" s="14">
        <v>59564</v>
      </c>
    </row>
    <row r="68" spans="1:20" x14ac:dyDescent="0.25">
      <c r="A68" s="15" t="s">
        <v>86</v>
      </c>
      <c r="B68" s="101" t="s">
        <v>160</v>
      </c>
      <c r="C68" s="16">
        <v>4271</v>
      </c>
      <c r="D68" s="16">
        <v>40571</v>
      </c>
      <c r="E68" s="16">
        <v>3023</v>
      </c>
      <c r="F68" s="16">
        <v>2512</v>
      </c>
      <c r="G68" s="16">
        <v>0</v>
      </c>
      <c r="H68" s="16">
        <v>29172</v>
      </c>
      <c r="I68" s="16">
        <v>8309</v>
      </c>
      <c r="J68" s="16">
        <v>0</v>
      </c>
      <c r="K68" s="16">
        <v>24562</v>
      </c>
      <c r="L68" s="16">
        <v>-1643</v>
      </c>
      <c r="M68" s="16">
        <v>0</v>
      </c>
      <c r="N68" s="16">
        <v>81</v>
      </c>
      <c r="O68" s="16">
        <v>0</v>
      </c>
      <c r="P68" s="16">
        <v>0</v>
      </c>
      <c r="Q68" s="16">
        <v>0</v>
      </c>
      <c r="R68" s="16"/>
      <c r="S68" s="16">
        <v>0</v>
      </c>
      <c r="T68" s="17">
        <v>110858</v>
      </c>
    </row>
    <row r="69" spans="1:20" x14ac:dyDescent="0.25">
      <c r="A69" s="20" t="s">
        <v>87</v>
      </c>
      <c r="B69" s="102" t="s">
        <v>116</v>
      </c>
      <c r="C69" s="21">
        <v>0</v>
      </c>
      <c r="D69" s="21">
        <v>0</v>
      </c>
      <c r="E69" s="21">
        <v>0</v>
      </c>
      <c r="F69" s="21">
        <v>0</v>
      </c>
      <c r="G69" s="21">
        <v>0</v>
      </c>
      <c r="H69" s="21">
        <v>22</v>
      </c>
      <c r="I69" s="21">
        <v>0</v>
      </c>
      <c r="J69" s="21">
        <v>0</v>
      </c>
      <c r="K69" s="21">
        <v>0</v>
      </c>
      <c r="L69" s="21">
        <v>0</v>
      </c>
      <c r="M69" s="21">
        <v>0</v>
      </c>
      <c r="N69" s="21">
        <v>0</v>
      </c>
      <c r="O69" s="21">
        <v>0</v>
      </c>
      <c r="P69" s="21">
        <v>0</v>
      </c>
      <c r="Q69" s="21">
        <v>0</v>
      </c>
      <c r="R69" s="21"/>
      <c r="S69" s="21">
        <v>209810</v>
      </c>
      <c r="T69" s="22">
        <v>209832</v>
      </c>
    </row>
    <row r="70" spans="1:20" x14ac:dyDescent="0.25">
      <c r="A70" s="12" t="s">
        <v>88</v>
      </c>
      <c r="B70" s="100" t="s">
        <v>161</v>
      </c>
      <c r="C70" s="13">
        <v>19</v>
      </c>
      <c r="D70" s="13">
        <v>190</v>
      </c>
      <c r="E70" s="13">
        <v>9</v>
      </c>
      <c r="F70" s="13">
        <v>0</v>
      </c>
      <c r="G70" s="13">
        <v>0</v>
      </c>
      <c r="H70" s="13">
        <v>-1922</v>
      </c>
      <c r="I70" s="13">
        <v>0</v>
      </c>
      <c r="J70" s="13">
        <v>0</v>
      </c>
      <c r="K70" s="13">
        <v>65862</v>
      </c>
      <c r="L70" s="13">
        <v>0</v>
      </c>
      <c r="M70" s="13">
        <v>0</v>
      </c>
      <c r="N70" s="13">
        <v>0</v>
      </c>
      <c r="O70" s="13">
        <v>0</v>
      </c>
      <c r="P70" s="13">
        <v>0</v>
      </c>
      <c r="Q70" s="13">
        <v>0</v>
      </c>
      <c r="R70" s="13"/>
      <c r="S70" s="13">
        <v>0</v>
      </c>
      <c r="T70" s="14">
        <v>64158</v>
      </c>
    </row>
    <row r="71" spans="1:20" x14ac:dyDescent="0.25">
      <c r="A71" s="12" t="s">
        <v>89</v>
      </c>
      <c r="B71" s="100" t="s">
        <v>117</v>
      </c>
      <c r="C71" s="13">
        <v>0</v>
      </c>
      <c r="D71" s="13">
        <v>0</v>
      </c>
      <c r="E71" s="13">
        <v>0</v>
      </c>
      <c r="F71" s="13">
        <v>0</v>
      </c>
      <c r="G71" s="13">
        <v>0</v>
      </c>
      <c r="H71" s="13">
        <v>2529</v>
      </c>
      <c r="I71" s="13">
        <v>0</v>
      </c>
      <c r="J71" s="13">
        <v>0</v>
      </c>
      <c r="K71" s="13">
        <v>64</v>
      </c>
      <c r="L71" s="13">
        <v>0</v>
      </c>
      <c r="M71" s="13">
        <v>0</v>
      </c>
      <c r="N71" s="13">
        <v>0</v>
      </c>
      <c r="O71" s="13">
        <v>0</v>
      </c>
      <c r="P71" s="13">
        <v>0</v>
      </c>
      <c r="Q71" s="13">
        <v>0</v>
      </c>
      <c r="R71" s="13"/>
      <c r="S71" s="13">
        <v>0</v>
      </c>
      <c r="T71" s="14">
        <v>2593</v>
      </c>
    </row>
    <row r="72" spans="1:20" x14ac:dyDescent="0.25">
      <c r="A72" s="15" t="s">
        <v>90</v>
      </c>
      <c r="B72" s="42" t="s">
        <v>119</v>
      </c>
      <c r="C72" s="16">
        <v>0</v>
      </c>
      <c r="D72" s="16">
        <v>1624</v>
      </c>
      <c r="E72" s="16">
        <v>-842</v>
      </c>
      <c r="F72" s="16">
        <v>0</v>
      </c>
      <c r="G72" s="16">
        <v>0</v>
      </c>
      <c r="H72" s="16">
        <v>-782</v>
      </c>
      <c r="I72" s="16">
        <v>0</v>
      </c>
      <c r="J72" s="16">
        <v>0</v>
      </c>
      <c r="K72" s="16">
        <v>0</v>
      </c>
      <c r="L72" s="16">
        <v>0</v>
      </c>
      <c r="M72" s="16">
        <v>0</v>
      </c>
      <c r="N72" s="16">
        <v>0</v>
      </c>
      <c r="O72" s="16">
        <v>0</v>
      </c>
      <c r="P72" s="16">
        <v>0</v>
      </c>
      <c r="Q72" s="16">
        <v>0</v>
      </c>
      <c r="R72" s="16"/>
      <c r="S72" s="16">
        <v>0</v>
      </c>
      <c r="T72" s="17">
        <v>0</v>
      </c>
    </row>
    <row r="73" spans="1:20" x14ac:dyDescent="0.25">
      <c r="A73" s="124" t="s">
        <v>91</v>
      </c>
      <c r="B73" s="42" t="s">
        <v>118</v>
      </c>
      <c r="C73" s="73">
        <v>0</v>
      </c>
      <c r="D73" s="73">
        <v>0</v>
      </c>
      <c r="E73" s="73">
        <v>0</v>
      </c>
      <c r="F73" s="73">
        <v>0</v>
      </c>
      <c r="G73" s="73">
        <v>0</v>
      </c>
      <c r="H73" s="73">
        <v>0</v>
      </c>
      <c r="I73" s="73">
        <v>0</v>
      </c>
      <c r="J73" s="73">
        <v>0</v>
      </c>
      <c r="K73" s="73">
        <v>0</v>
      </c>
      <c r="L73" s="73">
        <v>0</v>
      </c>
      <c r="M73" s="73">
        <v>0</v>
      </c>
      <c r="N73" s="73">
        <v>0</v>
      </c>
      <c r="O73" s="73">
        <v>0</v>
      </c>
      <c r="P73" s="73">
        <v>0</v>
      </c>
      <c r="Q73" s="73">
        <v>0</v>
      </c>
      <c r="R73" s="73">
        <v>401500</v>
      </c>
      <c r="S73" s="125"/>
      <c r="T73" s="90">
        <v>401500</v>
      </c>
    </row>
    <row r="74" spans="1:20" ht="13" thickBot="1" x14ac:dyDescent="0.3">
      <c r="A74" s="76" t="s">
        <v>92</v>
      </c>
      <c r="B74" s="126"/>
      <c r="C74" s="77">
        <v>744247</v>
      </c>
      <c r="D74" s="77">
        <v>7331729</v>
      </c>
      <c r="E74" s="77">
        <v>389180.19999999995</v>
      </c>
      <c r="F74" s="77">
        <v>22485.306482694428</v>
      </c>
      <c r="G74" s="77">
        <v>195360</v>
      </c>
      <c r="H74" s="77">
        <v>4180642</v>
      </c>
      <c r="I74" s="77">
        <v>889774</v>
      </c>
      <c r="J74" s="77">
        <v>0</v>
      </c>
      <c r="K74" s="77">
        <v>1995588</v>
      </c>
      <c r="L74" s="77">
        <v>468907</v>
      </c>
      <c r="M74" s="77">
        <v>129764</v>
      </c>
      <c r="N74" s="77">
        <v>39995.54996468289</v>
      </c>
      <c r="O74" s="77">
        <v>60202</v>
      </c>
      <c r="P74" s="77">
        <v>3306.186938461844</v>
      </c>
      <c r="Q74" s="77">
        <v>0</v>
      </c>
      <c r="R74" s="77">
        <v>401500</v>
      </c>
      <c r="S74" s="77">
        <v>209810</v>
      </c>
      <c r="T74" s="78">
        <v>17062490.243385836</v>
      </c>
    </row>
  </sheetData>
  <phoneticPr fontId="7" type="noConversion"/>
  <conditionalFormatting sqref="B1:B73">
    <cfRule type="cellIs" dxfId="1" priority="1" operator="lessThan">
      <formula>-20000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84"/>
  <sheetViews>
    <sheetView topLeftCell="F55" zoomScaleNormal="100" workbookViewId="0">
      <selection activeCell="T5" sqref="T5:T74"/>
    </sheetView>
  </sheetViews>
  <sheetFormatPr defaultRowHeight="12.5" x14ac:dyDescent="0.25"/>
  <cols>
    <col min="1" max="1" width="7.453125" style="1" customWidth="1"/>
    <col min="2" max="2" width="27.453125" style="40" customWidth="1"/>
    <col min="3" max="7" width="8.81640625" style="1"/>
    <col min="8" max="8" width="12.453125" style="1" customWidth="1"/>
    <col min="9" max="10" width="9.54296875" style="1" customWidth="1"/>
    <col min="11" max="12" width="8.81640625" style="1"/>
    <col min="13" max="14" width="10.1796875" style="1" bestFit="1" customWidth="1"/>
    <col min="15" max="16" width="8.81640625" style="1"/>
    <col min="17" max="17" width="10" style="1" customWidth="1"/>
    <col min="18" max="18" width="9.453125" style="1" customWidth="1"/>
    <col min="19" max="19" width="8.54296875" style="1" customWidth="1"/>
    <col min="20" max="20" width="11" style="1" customWidth="1"/>
    <col min="21" max="21" width="10.1796875" style="1" bestFit="1" customWidth="1"/>
    <col min="22" max="22" width="10.1796875" style="3" bestFit="1" customWidth="1"/>
    <col min="23" max="23" width="7.81640625" style="3" customWidth="1"/>
    <col min="24" max="257" width="8.81640625" style="1"/>
    <col min="258" max="258" width="9.1796875" style="1" customWidth="1"/>
    <col min="259" max="263" width="8.81640625" style="1"/>
    <col min="264" max="264" width="15.1796875" style="1" customWidth="1"/>
    <col min="265" max="266" width="9.54296875" style="1" customWidth="1"/>
    <col min="267" max="268" width="8.81640625" style="1"/>
    <col min="269" max="270" width="10.1796875" style="1" bestFit="1" customWidth="1"/>
    <col min="271" max="272" width="8.81640625" style="1"/>
    <col min="273" max="273" width="10" style="1" customWidth="1"/>
    <col min="274" max="274" width="11.81640625" style="1" customWidth="1"/>
    <col min="275" max="275" width="13.1796875" style="1" bestFit="1" customWidth="1"/>
    <col min="276" max="278" width="10.1796875" style="1" bestFit="1" customWidth="1"/>
    <col min="279" max="279" width="7.81640625" style="1" customWidth="1"/>
    <col min="280" max="513" width="8.81640625" style="1"/>
    <col min="514" max="514" width="9.1796875" style="1" customWidth="1"/>
    <col min="515" max="519" width="8.81640625" style="1"/>
    <col min="520" max="520" width="15.1796875" style="1" customWidth="1"/>
    <col min="521" max="522" width="9.54296875" style="1" customWidth="1"/>
    <col min="523" max="524" width="8.81640625" style="1"/>
    <col min="525" max="526" width="10.1796875" style="1" bestFit="1" customWidth="1"/>
    <col min="527" max="528" width="8.81640625" style="1"/>
    <col min="529" max="529" width="10" style="1" customWidth="1"/>
    <col min="530" max="530" width="11.81640625" style="1" customWidth="1"/>
    <col min="531" max="531" width="13.1796875" style="1" bestFit="1" customWidth="1"/>
    <col min="532" max="534" width="10.1796875" style="1" bestFit="1" customWidth="1"/>
    <col min="535" max="535" width="7.81640625" style="1" customWidth="1"/>
    <col min="536" max="769" width="8.81640625" style="1"/>
    <col min="770" max="770" width="9.1796875" style="1" customWidth="1"/>
    <col min="771" max="775" width="8.81640625" style="1"/>
    <col min="776" max="776" width="15.1796875" style="1" customWidth="1"/>
    <col min="777" max="778" width="9.54296875" style="1" customWidth="1"/>
    <col min="779" max="780" width="8.81640625" style="1"/>
    <col min="781" max="782" width="10.1796875" style="1" bestFit="1" customWidth="1"/>
    <col min="783" max="784" width="8.81640625" style="1"/>
    <col min="785" max="785" width="10" style="1" customWidth="1"/>
    <col min="786" max="786" width="11.81640625" style="1" customWidth="1"/>
    <col min="787" max="787" width="13.1796875" style="1" bestFit="1" customWidth="1"/>
    <col min="788" max="790" width="10.1796875" style="1" bestFit="1" customWidth="1"/>
    <col min="791" max="791" width="7.81640625" style="1" customWidth="1"/>
    <col min="792" max="1025" width="8.81640625" style="1"/>
    <col min="1026" max="1026" width="9.1796875" style="1" customWidth="1"/>
    <col min="1027" max="1031" width="8.81640625" style="1"/>
    <col min="1032" max="1032" width="15.1796875" style="1" customWidth="1"/>
    <col min="1033" max="1034" width="9.54296875" style="1" customWidth="1"/>
    <col min="1035" max="1036" width="8.81640625" style="1"/>
    <col min="1037" max="1038" width="10.1796875" style="1" bestFit="1" customWidth="1"/>
    <col min="1039" max="1040" width="8.81640625" style="1"/>
    <col min="1041" max="1041" width="10" style="1" customWidth="1"/>
    <col min="1042" max="1042" width="11.81640625" style="1" customWidth="1"/>
    <col min="1043" max="1043" width="13.1796875" style="1" bestFit="1" customWidth="1"/>
    <col min="1044" max="1046" width="10.1796875" style="1" bestFit="1" customWidth="1"/>
    <col min="1047" max="1047" width="7.81640625" style="1" customWidth="1"/>
    <col min="1048" max="1281" width="8.81640625" style="1"/>
    <col min="1282" max="1282" width="9.1796875" style="1" customWidth="1"/>
    <col min="1283" max="1287" width="8.81640625" style="1"/>
    <col min="1288" max="1288" width="15.1796875" style="1" customWidth="1"/>
    <col min="1289" max="1290" width="9.54296875" style="1" customWidth="1"/>
    <col min="1291" max="1292" width="8.81640625" style="1"/>
    <col min="1293" max="1294" width="10.1796875" style="1" bestFit="1" customWidth="1"/>
    <col min="1295" max="1296" width="8.81640625" style="1"/>
    <col min="1297" max="1297" width="10" style="1" customWidth="1"/>
    <col min="1298" max="1298" width="11.81640625" style="1" customWidth="1"/>
    <col min="1299" max="1299" width="13.1796875" style="1" bestFit="1" customWidth="1"/>
    <col min="1300" max="1302" width="10.1796875" style="1" bestFit="1" customWidth="1"/>
    <col min="1303" max="1303" width="7.81640625" style="1" customWidth="1"/>
    <col min="1304" max="1537" width="8.81640625" style="1"/>
    <col min="1538" max="1538" width="9.1796875" style="1" customWidth="1"/>
    <col min="1539" max="1543" width="8.81640625" style="1"/>
    <col min="1544" max="1544" width="15.1796875" style="1" customWidth="1"/>
    <col min="1545" max="1546" width="9.54296875" style="1" customWidth="1"/>
    <col min="1547" max="1548" width="8.81640625" style="1"/>
    <col min="1549" max="1550" width="10.1796875" style="1" bestFit="1" customWidth="1"/>
    <col min="1551" max="1552" width="8.81640625" style="1"/>
    <col min="1553" max="1553" width="10" style="1" customWidth="1"/>
    <col min="1554" max="1554" width="11.81640625" style="1" customWidth="1"/>
    <col min="1555" max="1555" width="13.1796875" style="1" bestFit="1" customWidth="1"/>
    <col min="1556" max="1558" width="10.1796875" style="1" bestFit="1" customWidth="1"/>
    <col min="1559" max="1559" width="7.81640625" style="1" customWidth="1"/>
    <col min="1560" max="1793" width="8.81640625" style="1"/>
    <col min="1794" max="1794" width="9.1796875" style="1" customWidth="1"/>
    <col min="1795" max="1799" width="8.81640625" style="1"/>
    <col min="1800" max="1800" width="15.1796875" style="1" customWidth="1"/>
    <col min="1801" max="1802" width="9.54296875" style="1" customWidth="1"/>
    <col min="1803" max="1804" width="8.81640625" style="1"/>
    <col min="1805" max="1806" width="10.1796875" style="1" bestFit="1" customWidth="1"/>
    <col min="1807" max="1808" width="8.81640625" style="1"/>
    <col min="1809" max="1809" width="10" style="1" customWidth="1"/>
    <col min="1810" max="1810" width="11.81640625" style="1" customWidth="1"/>
    <col min="1811" max="1811" width="13.1796875" style="1" bestFit="1" customWidth="1"/>
    <col min="1812" max="1814" width="10.1796875" style="1" bestFit="1" customWidth="1"/>
    <col min="1815" max="1815" width="7.81640625" style="1" customWidth="1"/>
    <col min="1816" max="2049" width="8.81640625" style="1"/>
    <col min="2050" max="2050" width="9.1796875" style="1" customWidth="1"/>
    <col min="2051" max="2055" width="8.81640625" style="1"/>
    <col min="2056" max="2056" width="15.1796875" style="1" customWidth="1"/>
    <col min="2057" max="2058" width="9.54296875" style="1" customWidth="1"/>
    <col min="2059" max="2060" width="8.81640625" style="1"/>
    <col min="2061" max="2062" width="10.1796875" style="1" bestFit="1" customWidth="1"/>
    <col min="2063" max="2064" width="8.81640625" style="1"/>
    <col min="2065" max="2065" width="10" style="1" customWidth="1"/>
    <col min="2066" max="2066" width="11.81640625" style="1" customWidth="1"/>
    <col min="2067" max="2067" width="13.1796875" style="1" bestFit="1" customWidth="1"/>
    <col min="2068" max="2070" width="10.1796875" style="1" bestFit="1" customWidth="1"/>
    <col min="2071" max="2071" width="7.81640625" style="1" customWidth="1"/>
    <col min="2072" max="2305" width="8.81640625" style="1"/>
    <col min="2306" max="2306" width="9.1796875" style="1" customWidth="1"/>
    <col min="2307" max="2311" width="8.81640625" style="1"/>
    <col min="2312" max="2312" width="15.1796875" style="1" customWidth="1"/>
    <col min="2313" max="2314" width="9.54296875" style="1" customWidth="1"/>
    <col min="2315" max="2316" width="8.81640625" style="1"/>
    <col min="2317" max="2318" width="10.1796875" style="1" bestFit="1" customWidth="1"/>
    <col min="2319" max="2320" width="8.81640625" style="1"/>
    <col min="2321" max="2321" width="10" style="1" customWidth="1"/>
    <col min="2322" max="2322" width="11.81640625" style="1" customWidth="1"/>
    <col min="2323" max="2323" width="13.1796875" style="1" bestFit="1" customWidth="1"/>
    <col min="2324" max="2326" width="10.1796875" style="1" bestFit="1" customWidth="1"/>
    <col min="2327" max="2327" width="7.81640625" style="1" customWidth="1"/>
    <col min="2328" max="2561" width="8.81640625" style="1"/>
    <col min="2562" max="2562" width="9.1796875" style="1" customWidth="1"/>
    <col min="2563" max="2567" width="8.81640625" style="1"/>
    <col min="2568" max="2568" width="15.1796875" style="1" customWidth="1"/>
    <col min="2569" max="2570" width="9.54296875" style="1" customWidth="1"/>
    <col min="2571" max="2572" width="8.81640625" style="1"/>
    <col min="2573" max="2574" width="10.1796875" style="1" bestFit="1" customWidth="1"/>
    <col min="2575" max="2576" width="8.81640625" style="1"/>
    <col min="2577" max="2577" width="10" style="1" customWidth="1"/>
    <col min="2578" max="2578" width="11.81640625" style="1" customWidth="1"/>
    <col min="2579" max="2579" width="13.1796875" style="1" bestFit="1" customWidth="1"/>
    <col min="2580" max="2582" width="10.1796875" style="1" bestFit="1" customWidth="1"/>
    <col min="2583" max="2583" width="7.81640625" style="1" customWidth="1"/>
    <col min="2584" max="2817" width="8.81640625" style="1"/>
    <col min="2818" max="2818" width="9.1796875" style="1" customWidth="1"/>
    <col min="2819" max="2823" width="8.81640625" style="1"/>
    <col min="2824" max="2824" width="15.1796875" style="1" customWidth="1"/>
    <col min="2825" max="2826" width="9.54296875" style="1" customWidth="1"/>
    <col min="2827" max="2828" width="8.81640625" style="1"/>
    <col min="2829" max="2830" width="10.1796875" style="1" bestFit="1" customWidth="1"/>
    <col min="2831" max="2832" width="8.81640625" style="1"/>
    <col min="2833" max="2833" width="10" style="1" customWidth="1"/>
    <col min="2834" max="2834" width="11.81640625" style="1" customWidth="1"/>
    <col min="2835" max="2835" width="13.1796875" style="1" bestFit="1" customWidth="1"/>
    <col min="2836" max="2838" width="10.1796875" style="1" bestFit="1" customWidth="1"/>
    <col min="2839" max="2839" width="7.81640625" style="1" customWidth="1"/>
    <col min="2840" max="3073" width="8.81640625" style="1"/>
    <col min="3074" max="3074" width="9.1796875" style="1" customWidth="1"/>
    <col min="3075" max="3079" width="8.81640625" style="1"/>
    <col min="3080" max="3080" width="15.1796875" style="1" customWidth="1"/>
    <col min="3081" max="3082" width="9.54296875" style="1" customWidth="1"/>
    <col min="3083" max="3084" width="8.81640625" style="1"/>
    <col min="3085" max="3086" width="10.1796875" style="1" bestFit="1" customWidth="1"/>
    <col min="3087" max="3088" width="8.81640625" style="1"/>
    <col min="3089" max="3089" width="10" style="1" customWidth="1"/>
    <col min="3090" max="3090" width="11.81640625" style="1" customWidth="1"/>
    <col min="3091" max="3091" width="13.1796875" style="1" bestFit="1" customWidth="1"/>
    <col min="3092" max="3094" width="10.1796875" style="1" bestFit="1" customWidth="1"/>
    <col min="3095" max="3095" width="7.81640625" style="1" customWidth="1"/>
    <col min="3096" max="3329" width="8.81640625" style="1"/>
    <col min="3330" max="3330" width="9.1796875" style="1" customWidth="1"/>
    <col min="3331" max="3335" width="8.81640625" style="1"/>
    <col min="3336" max="3336" width="15.1796875" style="1" customWidth="1"/>
    <col min="3337" max="3338" width="9.54296875" style="1" customWidth="1"/>
    <col min="3339" max="3340" width="8.81640625" style="1"/>
    <col min="3341" max="3342" width="10.1796875" style="1" bestFit="1" customWidth="1"/>
    <col min="3343" max="3344" width="8.81640625" style="1"/>
    <col min="3345" max="3345" width="10" style="1" customWidth="1"/>
    <col min="3346" max="3346" width="11.81640625" style="1" customWidth="1"/>
    <col min="3347" max="3347" width="13.1796875" style="1" bestFit="1" customWidth="1"/>
    <col min="3348" max="3350" width="10.1796875" style="1" bestFit="1" customWidth="1"/>
    <col min="3351" max="3351" width="7.81640625" style="1" customWidth="1"/>
    <col min="3352" max="3585" width="8.81640625" style="1"/>
    <col min="3586" max="3586" width="9.1796875" style="1" customWidth="1"/>
    <col min="3587" max="3591" width="8.81640625" style="1"/>
    <col min="3592" max="3592" width="15.1796875" style="1" customWidth="1"/>
    <col min="3593" max="3594" width="9.54296875" style="1" customWidth="1"/>
    <col min="3595" max="3596" width="8.81640625" style="1"/>
    <col min="3597" max="3598" width="10.1796875" style="1" bestFit="1" customWidth="1"/>
    <col min="3599" max="3600" width="8.81640625" style="1"/>
    <col min="3601" max="3601" width="10" style="1" customWidth="1"/>
    <col min="3602" max="3602" width="11.81640625" style="1" customWidth="1"/>
    <col min="3603" max="3603" width="13.1796875" style="1" bestFit="1" customWidth="1"/>
    <col min="3604" max="3606" width="10.1796875" style="1" bestFit="1" customWidth="1"/>
    <col min="3607" max="3607" width="7.81640625" style="1" customWidth="1"/>
    <col min="3608" max="3841" width="8.81640625" style="1"/>
    <col min="3842" max="3842" width="9.1796875" style="1" customWidth="1"/>
    <col min="3843" max="3847" width="8.81640625" style="1"/>
    <col min="3848" max="3848" width="15.1796875" style="1" customWidth="1"/>
    <col min="3849" max="3850" width="9.54296875" style="1" customWidth="1"/>
    <col min="3851" max="3852" width="8.81640625" style="1"/>
    <col min="3853" max="3854" width="10.1796875" style="1" bestFit="1" customWidth="1"/>
    <col min="3855" max="3856" width="8.81640625" style="1"/>
    <col min="3857" max="3857" width="10" style="1" customWidth="1"/>
    <col min="3858" max="3858" width="11.81640625" style="1" customWidth="1"/>
    <col min="3859" max="3859" width="13.1796875" style="1" bestFit="1" customWidth="1"/>
    <col min="3860" max="3862" width="10.1796875" style="1" bestFit="1" customWidth="1"/>
    <col min="3863" max="3863" width="7.81640625" style="1" customWidth="1"/>
    <col min="3864" max="4097" width="8.81640625" style="1"/>
    <col min="4098" max="4098" width="9.1796875" style="1" customWidth="1"/>
    <col min="4099" max="4103" width="8.81640625" style="1"/>
    <col min="4104" max="4104" width="15.1796875" style="1" customWidth="1"/>
    <col min="4105" max="4106" width="9.54296875" style="1" customWidth="1"/>
    <col min="4107" max="4108" width="8.81640625" style="1"/>
    <col min="4109" max="4110" width="10.1796875" style="1" bestFit="1" customWidth="1"/>
    <col min="4111" max="4112" width="8.81640625" style="1"/>
    <col min="4113" max="4113" width="10" style="1" customWidth="1"/>
    <col min="4114" max="4114" width="11.81640625" style="1" customWidth="1"/>
    <col min="4115" max="4115" width="13.1796875" style="1" bestFit="1" customWidth="1"/>
    <col min="4116" max="4118" width="10.1796875" style="1" bestFit="1" customWidth="1"/>
    <col min="4119" max="4119" width="7.81640625" style="1" customWidth="1"/>
    <col min="4120" max="4353" width="8.81640625" style="1"/>
    <col min="4354" max="4354" width="9.1796875" style="1" customWidth="1"/>
    <col min="4355" max="4359" width="8.81640625" style="1"/>
    <col min="4360" max="4360" width="15.1796875" style="1" customWidth="1"/>
    <col min="4361" max="4362" width="9.54296875" style="1" customWidth="1"/>
    <col min="4363" max="4364" width="8.81640625" style="1"/>
    <col min="4365" max="4366" width="10.1796875" style="1" bestFit="1" customWidth="1"/>
    <col min="4367" max="4368" width="8.81640625" style="1"/>
    <col min="4369" max="4369" width="10" style="1" customWidth="1"/>
    <col min="4370" max="4370" width="11.81640625" style="1" customWidth="1"/>
    <col min="4371" max="4371" width="13.1796875" style="1" bestFit="1" customWidth="1"/>
    <col min="4372" max="4374" width="10.1796875" style="1" bestFit="1" customWidth="1"/>
    <col min="4375" max="4375" width="7.81640625" style="1" customWidth="1"/>
    <col min="4376" max="4609" width="8.81640625" style="1"/>
    <col min="4610" max="4610" width="9.1796875" style="1" customWidth="1"/>
    <col min="4611" max="4615" width="8.81640625" style="1"/>
    <col min="4616" max="4616" width="15.1796875" style="1" customWidth="1"/>
    <col min="4617" max="4618" width="9.54296875" style="1" customWidth="1"/>
    <col min="4619" max="4620" width="8.81640625" style="1"/>
    <col min="4621" max="4622" width="10.1796875" style="1" bestFit="1" customWidth="1"/>
    <col min="4623" max="4624" width="8.81640625" style="1"/>
    <col min="4625" max="4625" width="10" style="1" customWidth="1"/>
    <col min="4626" max="4626" width="11.81640625" style="1" customWidth="1"/>
    <col min="4627" max="4627" width="13.1796875" style="1" bestFit="1" customWidth="1"/>
    <col min="4628" max="4630" width="10.1796875" style="1" bestFit="1" customWidth="1"/>
    <col min="4631" max="4631" width="7.81640625" style="1" customWidth="1"/>
    <col min="4632" max="4865" width="8.81640625" style="1"/>
    <col min="4866" max="4866" width="9.1796875" style="1" customWidth="1"/>
    <col min="4867" max="4871" width="8.81640625" style="1"/>
    <col min="4872" max="4872" width="15.1796875" style="1" customWidth="1"/>
    <col min="4873" max="4874" width="9.54296875" style="1" customWidth="1"/>
    <col min="4875" max="4876" width="8.81640625" style="1"/>
    <col min="4877" max="4878" width="10.1796875" style="1" bestFit="1" customWidth="1"/>
    <col min="4879" max="4880" width="8.81640625" style="1"/>
    <col min="4881" max="4881" width="10" style="1" customWidth="1"/>
    <col min="4882" max="4882" width="11.81640625" style="1" customWidth="1"/>
    <col min="4883" max="4883" width="13.1796875" style="1" bestFit="1" customWidth="1"/>
    <col min="4884" max="4886" width="10.1796875" style="1" bestFit="1" customWidth="1"/>
    <col min="4887" max="4887" width="7.81640625" style="1" customWidth="1"/>
    <col min="4888" max="5121" width="8.81640625" style="1"/>
    <col min="5122" max="5122" width="9.1796875" style="1" customWidth="1"/>
    <col min="5123" max="5127" width="8.81640625" style="1"/>
    <col min="5128" max="5128" width="15.1796875" style="1" customWidth="1"/>
    <col min="5129" max="5130" width="9.54296875" style="1" customWidth="1"/>
    <col min="5131" max="5132" width="8.81640625" style="1"/>
    <col min="5133" max="5134" width="10.1796875" style="1" bestFit="1" customWidth="1"/>
    <col min="5135" max="5136" width="8.81640625" style="1"/>
    <col min="5137" max="5137" width="10" style="1" customWidth="1"/>
    <col min="5138" max="5138" width="11.81640625" style="1" customWidth="1"/>
    <col min="5139" max="5139" width="13.1796875" style="1" bestFit="1" customWidth="1"/>
    <col min="5140" max="5142" width="10.1796875" style="1" bestFit="1" customWidth="1"/>
    <col min="5143" max="5143" width="7.81640625" style="1" customWidth="1"/>
    <col min="5144" max="5377" width="8.81640625" style="1"/>
    <col min="5378" max="5378" width="9.1796875" style="1" customWidth="1"/>
    <col min="5379" max="5383" width="8.81640625" style="1"/>
    <col min="5384" max="5384" width="15.1796875" style="1" customWidth="1"/>
    <col min="5385" max="5386" width="9.54296875" style="1" customWidth="1"/>
    <col min="5387" max="5388" width="8.81640625" style="1"/>
    <col min="5389" max="5390" width="10.1796875" style="1" bestFit="1" customWidth="1"/>
    <col min="5391" max="5392" width="8.81640625" style="1"/>
    <col min="5393" max="5393" width="10" style="1" customWidth="1"/>
    <col min="5394" max="5394" width="11.81640625" style="1" customWidth="1"/>
    <col min="5395" max="5395" width="13.1796875" style="1" bestFit="1" customWidth="1"/>
    <col min="5396" max="5398" width="10.1796875" style="1" bestFit="1" customWidth="1"/>
    <col min="5399" max="5399" width="7.81640625" style="1" customWidth="1"/>
    <col min="5400" max="5633" width="8.81640625" style="1"/>
    <col min="5634" max="5634" width="9.1796875" style="1" customWidth="1"/>
    <col min="5635" max="5639" width="8.81640625" style="1"/>
    <col min="5640" max="5640" width="15.1796875" style="1" customWidth="1"/>
    <col min="5641" max="5642" width="9.54296875" style="1" customWidth="1"/>
    <col min="5643" max="5644" width="8.81640625" style="1"/>
    <col min="5645" max="5646" width="10.1796875" style="1" bestFit="1" customWidth="1"/>
    <col min="5647" max="5648" width="8.81640625" style="1"/>
    <col min="5649" max="5649" width="10" style="1" customWidth="1"/>
    <col min="5650" max="5650" width="11.81640625" style="1" customWidth="1"/>
    <col min="5651" max="5651" width="13.1796875" style="1" bestFit="1" customWidth="1"/>
    <col min="5652" max="5654" width="10.1796875" style="1" bestFit="1" customWidth="1"/>
    <col min="5655" max="5655" width="7.81640625" style="1" customWidth="1"/>
    <col min="5656" max="5889" width="8.81640625" style="1"/>
    <col min="5890" max="5890" width="9.1796875" style="1" customWidth="1"/>
    <col min="5891" max="5895" width="8.81640625" style="1"/>
    <col min="5896" max="5896" width="15.1796875" style="1" customWidth="1"/>
    <col min="5897" max="5898" width="9.54296875" style="1" customWidth="1"/>
    <col min="5899" max="5900" width="8.81640625" style="1"/>
    <col min="5901" max="5902" width="10.1796875" style="1" bestFit="1" customWidth="1"/>
    <col min="5903" max="5904" width="8.81640625" style="1"/>
    <col min="5905" max="5905" width="10" style="1" customWidth="1"/>
    <col min="5906" max="5906" width="11.81640625" style="1" customWidth="1"/>
    <col min="5907" max="5907" width="13.1796875" style="1" bestFit="1" customWidth="1"/>
    <col min="5908" max="5910" width="10.1796875" style="1" bestFit="1" customWidth="1"/>
    <col min="5911" max="5911" width="7.81640625" style="1" customWidth="1"/>
    <col min="5912" max="6145" width="8.81640625" style="1"/>
    <col min="6146" max="6146" width="9.1796875" style="1" customWidth="1"/>
    <col min="6147" max="6151" width="8.81640625" style="1"/>
    <col min="6152" max="6152" width="15.1796875" style="1" customWidth="1"/>
    <col min="6153" max="6154" width="9.54296875" style="1" customWidth="1"/>
    <col min="6155" max="6156" width="8.81640625" style="1"/>
    <col min="6157" max="6158" width="10.1796875" style="1" bestFit="1" customWidth="1"/>
    <col min="6159" max="6160" width="8.81640625" style="1"/>
    <col min="6161" max="6161" width="10" style="1" customWidth="1"/>
    <col min="6162" max="6162" width="11.81640625" style="1" customWidth="1"/>
    <col min="6163" max="6163" width="13.1796875" style="1" bestFit="1" customWidth="1"/>
    <col min="6164" max="6166" width="10.1796875" style="1" bestFit="1" customWidth="1"/>
    <col min="6167" max="6167" width="7.81640625" style="1" customWidth="1"/>
    <col min="6168" max="6401" width="8.81640625" style="1"/>
    <col min="6402" max="6402" width="9.1796875" style="1" customWidth="1"/>
    <col min="6403" max="6407" width="8.81640625" style="1"/>
    <col min="6408" max="6408" width="15.1796875" style="1" customWidth="1"/>
    <col min="6409" max="6410" width="9.54296875" style="1" customWidth="1"/>
    <col min="6411" max="6412" width="8.81640625" style="1"/>
    <col min="6413" max="6414" width="10.1796875" style="1" bestFit="1" customWidth="1"/>
    <col min="6415" max="6416" width="8.81640625" style="1"/>
    <col min="6417" max="6417" width="10" style="1" customWidth="1"/>
    <col min="6418" max="6418" width="11.81640625" style="1" customWidth="1"/>
    <col min="6419" max="6419" width="13.1796875" style="1" bestFit="1" customWidth="1"/>
    <col min="6420" max="6422" width="10.1796875" style="1" bestFit="1" customWidth="1"/>
    <col min="6423" max="6423" width="7.81640625" style="1" customWidth="1"/>
    <col min="6424" max="6657" width="8.81640625" style="1"/>
    <col min="6658" max="6658" width="9.1796875" style="1" customWidth="1"/>
    <col min="6659" max="6663" width="8.81640625" style="1"/>
    <col min="6664" max="6664" width="15.1796875" style="1" customWidth="1"/>
    <col min="6665" max="6666" width="9.54296875" style="1" customWidth="1"/>
    <col min="6667" max="6668" width="8.81640625" style="1"/>
    <col min="6669" max="6670" width="10.1796875" style="1" bestFit="1" customWidth="1"/>
    <col min="6671" max="6672" width="8.81640625" style="1"/>
    <col min="6673" max="6673" width="10" style="1" customWidth="1"/>
    <col min="6674" max="6674" width="11.81640625" style="1" customWidth="1"/>
    <col min="6675" max="6675" width="13.1796875" style="1" bestFit="1" customWidth="1"/>
    <col min="6676" max="6678" width="10.1796875" style="1" bestFit="1" customWidth="1"/>
    <col min="6679" max="6679" width="7.81640625" style="1" customWidth="1"/>
    <col min="6680" max="6913" width="8.81640625" style="1"/>
    <col min="6914" max="6914" width="9.1796875" style="1" customWidth="1"/>
    <col min="6915" max="6919" width="8.81640625" style="1"/>
    <col min="6920" max="6920" width="15.1796875" style="1" customWidth="1"/>
    <col min="6921" max="6922" width="9.54296875" style="1" customWidth="1"/>
    <col min="6923" max="6924" width="8.81640625" style="1"/>
    <col min="6925" max="6926" width="10.1796875" style="1" bestFit="1" customWidth="1"/>
    <col min="6927" max="6928" width="8.81640625" style="1"/>
    <col min="6929" max="6929" width="10" style="1" customWidth="1"/>
    <col min="6930" max="6930" width="11.81640625" style="1" customWidth="1"/>
    <col min="6931" max="6931" width="13.1796875" style="1" bestFit="1" customWidth="1"/>
    <col min="6932" max="6934" width="10.1796875" style="1" bestFit="1" customWidth="1"/>
    <col min="6935" max="6935" width="7.81640625" style="1" customWidth="1"/>
    <col min="6936" max="7169" width="8.81640625" style="1"/>
    <col min="7170" max="7170" width="9.1796875" style="1" customWidth="1"/>
    <col min="7171" max="7175" width="8.81640625" style="1"/>
    <col min="7176" max="7176" width="15.1796875" style="1" customWidth="1"/>
    <col min="7177" max="7178" width="9.54296875" style="1" customWidth="1"/>
    <col min="7179" max="7180" width="8.81640625" style="1"/>
    <col min="7181" max="7182" width="10.1796875" style="1" bestFit="1" customWidth="1"/>
    <col min="7183" max="7184" width="8.81640625" style="1"/>
    <col min="7185" max="7185" width="10" style="1" customWidth="1"/>
    <col min="7186" max="7186" width="11.81640625" style="1" customWidth="1"/>
    <col min="7187" max="7187" width="13.1796875" style="1" bestFit="1" customWidth="1"/>
    <col min="7188" max="7190" width="10.1796875" style="1" bestFit="1" customWidth="1"/>
    <col min="7191" max="7191" width="7.81640625" style="1" customWidth="1"/>
    <col min="7192" max="7425" width="8.81640625" style="1"/>
    <col min="7426" max="7426" width="9.1796875" style="1" customWidth="1"/>
    <col min="7427" max="7431" width="8.81640625" style="1"/>
    <col min="7432" max="7432" width="15.1796875" style="1" customWidth="1"/>
    <col min="7433" max="7434" width="9.54296875" style="1" customWidth="1"/>
    <col min="7435" max="7436" width="8.81640625" style="1"/>
    <col min="7437" max="7438" width="10.1796875" style="1" bestFit="1" customWidth="1"/>
    <col min="7439" max="7440" width="8.81640625" style="1"/>
    <col min="7441" max="7441" width="10" style="1" customWidth="1"/>
    <col min="7442" max="7442" width="11.81640625" style="1" customWidth="1"/>
    <col min="7443" max="7443" width="13.1796875" style="1" bestFit="1" customWidth="1"/>
    <col min="7444" max="7446" width="10.1796875" style="1" bestFit="1" customWidth="1"/>
    <col min="7447" max="7447" width="7.81640625" style="1" customWidth="1"/>
    <col min="7448" max="7681" width="8.81640625" style="1"/>
    <col min="7682" max="7682" width="9.1796875" style="1" customWidth="1"/>
    <col min="7683" max="7687" width="8.81640625" style="1"/>
    <col min="7688" max="7688" width="15.1796875" style="1" customWidth="1"/>
    <col min="7689" max="7690" width="9.54296875" style="1" customWidth="1"/>
    <col min="7691" max="7692" width="8.81640625" style="1"/>
    <col min="7693" max="7694" width="10.1796875" style="1" bestFit="1" customWidth="1"/>
    <col min="7695" max="7696" width="8.81640625" style="1"/>
    <col min="7697" max="7697" width="10" style="1" customWidth="1"/>
    <col min="7698" max="7698" width="11.81640625" style="1" customWidth="1"/>
    <col min="7699" max="7699" width="13.1796875" style="1" bestFit="1" customWidth="1"/>
    <col min="7700" max="7702" width="10.1796875" style="1" bestFit="1" customWidth="1"/>
    <col min="7703" max="7703" width="7.81640625" style="1" customWidth="1"/>
    <col min="7704" max="7937" width="8.81640625" style="1"/>
    <col min="7938" max="7938" width="9.1796875" style="1" customWidth="1"/>
    <col min="7939" max="7943" width="8.81640625" style="1"/>
    <col min="7944" max="7944" width="15.1796875" style="1" customWidth="1"/>
    <col min="7945" max="7946" width="9.54296875" style="1" customWidth="1"/>
    <col min="7947" max="7948" width="8.81640625" style="1"/>
    <col min="7949" max="7950" width="10.1796875" style="1" bestFit="1" customWidth="1"/>
    <col min="7951" max="7952" width="8.81640625" style="1"/>
    <col min="7953" max="7953" width="10" style="1" customWidth="1"/>
    <col min="7954" max="7954" width="11.81640625" style="1" customWidth="1"/>
    <col min="7955" max="7955" width="13.1796875" style="1" bestFit="1" customWidth="1"/>
    <col min="7956" max="7958" width="10.1796875" style="1" bestFit="1" customWidth="1"/>
    <col min="7959" max="7959" width="7.81640625" style="1" customWidth="1"/>
    <col min="7960" max="8193" width="8.81640625" style="1"/>
    <col min="8194" max="8194" width="9.1796875" style="1" customWidth="1"/>
    <col min="8195" max="8199" width="8.81640625" style="1"/>
    <col min="8200" max="8200" width="15.1796875" style="1" customWidth="1"/>
    <col min="8201" max="8202" width="9.54296875" style="1" customWidth="1"/>
    <col min="8203" max="8204" width="8.81640625" style="1"/>
    <col min="8205" max="8206" width="10.1796875" style="1" bestFit="1" customWidth="1"/>
    <col min="8207" max="8208" width="8.81640625" style="1"/>
    <col min="8209" max="8209" width="10" style="1" customWidth="1"/>
    <col min="8210" max="8210" width="11.81640625" style="1" customWidth="1"/>
    <col min="8211" max="8211" width="13.1796875" style="1" bestFit="1" customWidth="1"/>
    <col min="8212" max="8214" width="10.1796875" style="1" bestFit="1" customWidth="1"/>
    <col min="8215" max="8215" width="7.81640625" style="1" customWidth="1"/>
    <col min="8216" max="8449" width="8.81640625" style="1"/>
    <col min="8450" max="8450" width="9.1796875" style="1" customWidth="1"/>
    <col min="8451" max="8455" width="8.81640625" style="1"/>
    <col min="8456" max="8456" width="15.1796875" style="1" customWidth="1"/>
    <col min="8457" max="8458" width="9.54296875" style="1" customWidth="1"/>
    <col min="8459" max="8460" width="8.81640625" style="1"/>
    <col min="8461" max="8462" width="10.1796875" style="1" bestFit="1" customWidth="1"/>
    <col min="8463" max="8464" width="8.81640625" style="1"/>
    <col min="8465" max="8465" width="10" style="1" customWidth="1"/>
    <col min="8466" max="8466" width="11.81640625" style="1" customWidth="1"/>
    <col min="8467" max="8467" width="13.1796875" style="1" bestFit="1" customWidth="1"/>
    <col min="8468" max="8470" width="10.1796875" style="1" bestFit="1" customWidth="1"/>
    <col min="8471" max="8471" width="7.81640625" style="1" customWidth="1"/>
    <col min="8472" max="8705" width="8.81640625" style="1"/>
    <col min="8706" max="8706" width="9.1796875" style="1" customWidth="1"/>
    <col min="8707" max="8711" width="8.81640625" style="1"/>
    <col min="8712" max="8712" width="15.1796875" style="1" customWidth="1"/>
    <col min="8713" max="8714" width="9.54296875" style="1" customWidth="1"/>
    <col min="8715" max="8716" width="8.81640625" style="1"/>
    <col min="8717" max="8718" width="10.1796875" style="1" bestFit="1" customWidth="1"/>
    <col min="8719" max="8720" width="8.81640625" style="1"/>
    <col min="8721" max="8721" width="10" style="1" customWidth="1"/>
    <col min="8722" max="8722" width="11.81640625" style="1" customWidth="1"/>
    <col min="8723" max="8723" width="13.1796875" style="1" bestFit="1" customWidth="1"/>
    <col min="8724" max="8726" width="10.1796875" style="1" bestFit="1" customWidth="1"/>
    <col min="8727" max="8727" width="7.81640625" style="1" customWidth="1"/>
    <col min="8728" max="8961" width="8.81640625" style="1"/>
    <col min="8962" max="8962" width="9.1796875" style="1" customWidth="1"/>
    <col min="8963" max="8967" width="8.81640625" style="1"/>
    <col min="8968" max="8968" width="15.1796875" style="1" customWidth="1"/>
    <col min="8969" max="8970" width="9.54296875" style="1" customWidth="1"/>
    <col min="8971" max="8972" width="8.81640625" style="1"/>
    <col min="8973" max="8974" width="10.1796875" style="1" bestFit="1" customWidth="1"/>
    <col min="8975" max="8976" width="8.81640625" style="1"/>
    <col min="8977" max="8977" width="10" style="1" customWidth="1"/>
    <col min="8978" max="8978" width="11.81640625" style="1" customWidth="1"/>
    <col min="8979" max="8979" width="13.1796875" style="1" bestFit="1" customWidth="1"/>
    <col min="8980" max="8982" width="10.1796875" style="1" bestFit="1" customWidth="1"/>
    <col min="8983" max="8983" width="7.81640625" style="1" customWidth="1"/>
    <col min="8984" max="9217" width="8.81640625" style="1"/>
    <col min="9218" max="9218" width="9.1796875" style="1" customWidth="1"/>
    <col min="9219" max="9223" width="8.81640625" style="1"/>
    <col min="9224" max="9224" width="15.1796875" style="1" customWidth="1"/>
    <col min="9225" max="9226" width="9.54296875" style="1" customWidth="1"/>
    <col min="9227" max="9228" width="8.81640625" style="1"/>
    <col min="9229" max="9230" width="10.1796875" style="1" bestFit="1" customWidth="1"/>
    <col min="9231" max="9232" width="8.81640625" style="1"/>
    <col min="9233" max="9233" width="10" style="1" customWidth="1"/>
    <col min="9234" max="9234" width="11.81640625" style="1" customWidth="1"/>
    <col min="9235" max="9235" width="13.1796875" style="1" bestFit="1" customWidth="1"/>
    <col min="9236" max="9238" width="10.1796875" style="1" bestFit="1" customWidth="1"/>
    <col min="9239" max="9239" width="7.81640625" style="1" customWidth="1"/>
    <col min="9240" max="9473" width="8.81640625" style="1"/>
    <col min="9474" max="9474" width="9.1796875" style="1" customWidth="1"/>
    <col min="9475" max="9479" width="8.81640625" style="1"/>
    <col min="9480" max="9480" width="15.1796875" style="1" customWidth="1"/>
    <col min="9481" max="9482" width="9.54296875" style="1" customWidth="1"/>
    <col min="9483" max="9484" width="8.81640625" style="1"/>
    <col min="9485" max="9486" width="10.1796875" style="1" bestFit="1" customWidth="1"/>
    <col min="9487" max="9488" width="8.81640625" style="1"/>
    <col min="9489" max="9489" width="10" style="1" customWidth="1"/>
    <col min="9490" max="9490" width="11.81640625" style="1" customWidth="1"/>
    <col min="9491" max="9491" width="13.1796875" style="1" bestFit="1" customWidth="1"/>
    <col min="9492" max="9494" width="10.1796875" style="1" bestFit="1" customWidth="1"/>
    <col min="9495" max="9495" width="7.81640625" style="1" customWidth="1"/>
    <col min="9496" max="9729" width="8.81640625" style="1"/>
    <col min="9730" max="9730" width="9.1796875" style="1" customWidth="1"/>
    <col min="9731" max="9735" width="8.81640625" style="1"/>
    <col min="9736" max="9736" width="15.1796875" style="1" customWidth="1"/>
    <col min="9737" max="9738" width="9.54296875" style="1" customWidth="1"/>
    <col min="9739" max="9740" width="8.81640625" style="1"/>
    <col min="9741" max="9742" width="10.1796875" style="1" bestFit="1" customWidth="1"/>
    <col min="9743" max="9744" width="8.81640625" style="1"/>
    <col min="9745" max="9745" width="10" style="1" customWidth="1"/>
    <col min="9746" max="9746" width="11.81640625" style="1" customWidth="1"/>
    <col min="9747" max="9747" width="13.1796875" style="1" bestFit="1" customWidth="1"/>
    <col min="9748" max="9750" width="10.1796875" style="1" bestFit="1" customWidth="1"/>
    <col min="9751" max="9751" width="7.81640625" style="1" customWidth="1"/>
    <col min="9752" max="9985" width="8.81640625" style="1"/>
    <col min="9986" max="9986" width="9.1796875" style="1" customWidth="1"/>
    <col min="9987" max="9991" width="8.81640625" style="1"/>
    <col min="9992" max="9992" width="15.1796875" style="1" customWidth="1"/>
    <col min="9993" max="9994" width="9.54296875" style="1" customWidth="1"/>
    <col min="9995" max="9996" width="8.81640625" style="1"/>
    <col min="9997" max="9998" width="10.1796875" style="1" bestFit="1" customWidth="1"/>
    <col min="9999" max="10000" width="8.81640625" style="1"/>
    <col min="10001" max="10001" width="10" style="1" customWidth="1"/>
    <col min="10002" max="10002" width="11.81640625" style="1" customWidth="1"/>
    <col min="10003" max="10003" width="13.1796875" style="1" bestFit="1" customWidth="1"/>
    <col min="10004" max="10006" width="10.1796875" style="1" bestFit="1" customWidth="1"/>
    <col min="10007" max="10007" width="7.81640625" style="1" customWidth="1"/>
    <col min="10008" max="10241" width="8.81640625" style="1"/>
    <col min="10242" max="10242" width="9.1796875" style="1" customWidth="1"/>
    <col min="10243" max="10247" width="8.81640625" style="1"/>
    <col min="10248" max="10248" width="15.1796875" style="1" customWidth="1"/>
    <col min="10249" max="10250" width="9.54296875" style="1" customWidth="1"/>
    <col min="10251" max="10252" width="8.81640625" style="1"/>
    <col min="10253" max="10254" width="10.1796875" style="1" bestFit="1" customWidth="1"/>
    <col min="10255" max="10256" width="8.81640625" style="1"/>
    <col min="10257" max="10257" width="10" style="1" customWidth="1"/>
    <col min="10258" max="10258" width="11.81640625" style="1" customWidth="1"/>
    <col min="10259" max="10259" width="13.1796875" style="1" bestFit="1" customWidth="1"/>
    <col min="10260" max="10262" width="10.1796875" style="1" bestFit="1" customWidth="1"/>
    <col min="10263" max="10263" width="7.81640625" style="1" customWidth="1"/>
    <col min="10264" max="10497" width="8.81640625" style="1"/>
    <col min="10498" max="10498" width="9.1796875" style="1" customWidth="1"/>
    <col min="10499" max="10503" width="8.81640625" style="1"/>
    <col min="10504" max="10504" width="15.1796875" style="1" customWidth="1"/>
    <col min="10505" max="10506" width="9.54296875" style="1" customWidth="1"/>
    <col min="10507" max="10508" width="8.81640625" style="1"/>
    <col min="10509" max="10510" width="10.1796875" style="1" bestFit="1" customWidth="1"/>
    <col min="10511" max="10512" width="8.81640625" style="1"/>
    <col min="10513" max="10513" width="10" style="1" customWidth="1"/>
    <col min="10514" max="10514" width="11.81640625" style="1" customWidth="1"/>
    <col min="10515" max="10515" width="13.1796875" style="1" bestFit="1" customWidth="1"/>
    <col min="10516" max="10518" width="10.1796875" style="1" bestFit="1" customWidth="1"/>
    <col min="10519" max="10519" width="7.81640625" style="1" customWidth="1"/>
    <col min="10520" max="10753" width="8.81640625" style="1"/>
    <col min="10754" max="10754" width="9.1796875" style="1" customWidth="1"/>
    <col min="10755" max="10759" width="8.81640625" style="1"/>
    <col min="10760" max="10760" width="15.1796875" style="1" customWidth="1"/>
    <col min="10761" max="10762" width="9.54296875" style="1" customWidth="1"/>
    <col min="10763" max="10764" width="8.81640625" style="1"/>
    <col min="10765" max="10766" width="10.1796875" style="1" bestFit="1" customWidth="1"/>
    <col min="10767" max="10768" width="8.81640625" style="1"/>
    <col min="10769" max="10769" width="10" style="1" customWidth="1"/>
    <col min="10770" max="10770" width="11.81640625" style="1" customWidth="1"/>
    <col min="10771" max="10771" width="13.1796875" style="1" bestFit="1" customWidth="1"/>
    <col min="10772" max="10774" width="10.1796875" style="1" bestFit="1" customWidth="1"/>
    <col min="10775" max="10775" width="7.81640625" style="1" customWidth="1"/>
    <col min="10776" max="11009" width="8.81640625" style="1"/>
    <col min="11010" max="11010" width="9.1796875" style="1" customWidth="1"/>
    <col min="11011" max="11015" width="8.81640625" style="1"/>
    <col min="11016" max="11016" width="15.1796875" style="1" customWidth="1"/>
    <col min="11017" max="11018" width="9.54296875" style="1" customWidth="1"/>
    <col min="11019" max="11020" width="8.81640625" style="1"/>
    <col min="11021" max="11022" width="10.1796875" style="1" bestFit="1" customWidth="1"/>
    <col min="11023" max="11024" width="8.81640625" style="1"/>
    <col min="11025" max="11025" width="10" style="1" customWidth="1"/>
    <col min="11026" max="11026" width="11.81640625" style="1" customWidth="1"/>
    <col min="11027" max="11027" width="13.1796875" style="1" bestFit="1" customWidth="1"/>
    <col min="11028" max="11030" width="10.1796875" style="1" bestFit="1" customWidth="1"/>
    <col min="11031" max="11031" width="7.81640625" style="1" customWidth="1"/>
    <col min="11032" max="11265" width="8.81640625" style="1"/>
    <col min="11266" max="11266" width="9.1796875" style="1" customWidth="1"/>
    <col min="11267" max="11271" width="8.81640625" style="1"/>
    <col min="11272" max="11272" width="15.1796875" style="1" customWidth="1"/>
    <col min="11273" max="11274" width="9.54296875" style="1" customWidth="1"/>
    <col min="11275" max="11276" width="8.81640625" style="1"/>
    <col min="11277" max="11278" width="10.1796875" style="1" bestFit="1" customWidth="1"/>
    <col min="11279" max="11280" width="8.81640625" style="1"/>
    <col min="11281" max="11281" width="10" style="1" customWidth="1"/>
    <col min="11282" max="11282" width="11.81640625" style="1" customWidth="1"/>
    <col min="11283" max="11283" width="13.1796875" style="1" bestFit="1" customWidth="1"/>
    <col min="11284" max="11286" width="10.1796875" style="1" bestFit="1" customWidth="1"/>
    <col min="11287" max="11287" width="7.81640625" style="1" customWidth="1"/>
    <col min="11288" max="11521" width="8.81640625" style="1"/>
    <col min="11522" max="11522" width="9.1796875" style="1" customWidth="1"/>
    <col min="11523" max="11527" width="8.81640625" style="1"/>
    <col min="11528" max="11528" width="15.1796875" style="1" customWidth="1"/>
    <col min="11529" max="11530" width="9.54296875" style="1" customWidth="1"/>
    <col min="11531" max="11532" width="8.81640625" style="1"/>
    <col min="11533" max="11534" width="10.1796875" style="1" bestFit="1" customWidth="1"/>
    <col min="11535" max="11536" width="8.81640625" style="1"/>
    <col min="11537" max="11537" width="10" style="1" customWidth="1"/>
    <col min="11538" max="11538" width="11.81640625" style="1" customWidth="1"/>
    <col min="11539" max="11539" width="13.1796875" style="1" bestFit="1" customWidth="1"/>
    <col min="11540" max="11542" width="10.1796875" style="1" bestFit="1" customWidth="1"/>
    <col min="11543" max="11543" width="7.81640625" style="1" customWidth="1"/>
    <col min="11544" max="11777" width="8.81640625" style="1"/>
    <col min="11778" max="11778" width="9.1796875" style="1" customWidth="1"/>
    <col min="11779" max="11783" width="8.81640625" style="1"/>
    <col min="11784" max="11784" width="15.1796875" style="1" customWidth="1"/>
    <col min="11785" max="11786" width="9.54296875" style="1" customWidth="1"/>
    <col min="11787" max="11788" width="8.81640625" style="1"/>
    <col min="11789" max="11790" width="10.1796875" style="1" bestFit="1" customWidth="1"/>
    <col min="11791" max="11792" width="8.81640625" style="1"/>
    <col min="11793" max="11793" width="10" style="1" customWidth="1"/>
    <col min="11794" max="11794" width="11.81640625" style="1" customWidth="1"/>
    <col min="11795" max="11795" width="13.1796875" style="1" bestFit="1" customWidth="1"/>
    <col min="11796" max="11798" width="10.1796875" style="1" bestFit="1" customWidth="1"/>
    <col min="11799" max="11799" width="7.81640625" style="1" customWidth="1"/>
    <col min="11800" max="12033" width="8.81640625" style="1"/>
    <col min="12034" max="12034" width="9.1796875" style="1" customWidth="1"/>
    <col min="12035" max="12039" width="8.81640625" style="1"/>
    <col min="12040" max="12040" width="15.1796875" style="1" customWidth="1"/>
    <col min="12041" max="12042" width="9.54296875" style="1" customWidth="1"/>
    <col min="12043" max="12044" width="8.81640625" style="1"/>
    <col min="12045" max="12046" width="10.1796875" style="1" bestFit="1" customWidth="1"/>
    <col min="12047" max="12048" width="8.81640625" style="1"/>
    <col min="12049" max="12049" width="10" style="1" customWidth="1"/>
    <col min="12050" max="12050" width="11.81640625" style="1" customWidth="1"/>
    <col min="12051" max="12051" width="13.1796875" style="1" bestFit="1" customWidth="1"/>
    <col min="12052" max="12054" width="10.1796875" style="1" bestFit="1" customWidth="1"/>
    <col min="12055" max="12055" width="7.81640625" style="1" customWidth="1"/>
    <col min="12056" max="12289" width="8.81640625" style="1"/>
    <col min="12290" max="12290" width="9.1796875" style="1" customWidth="1"/>
    <col min="12291" max="12295" width="8.81640625" style="1"/>
    <col min="12296" max="12296" width="15.1796875" style="1" customWidth="1"/>
    <col min="12297" max="12298" width="9.54296875" style="1" customWidth="1"/>
    <col min="12299" max="12300" width="8.81640625" style="1"/>
    <col min="12301" max="12302" width="10.1796875" style="1" bestFit="1" customWidth="1"/>
    <col min="12303" max="12304" width="8.81640625" style="1"/>
    <col min="12305" max="12305" width="10" style="1" customWidth="1"/>
    <col min="12306" max="12306" width="11.81640625" style="1" customWidth="1"/>
    <col min="12307" max="12307" width="13.1796875" style="1" bestFit="1" customWidth="1"/>
    <col min="12308" max="12310" width="10.1796875" style="1" bestFit="1" customWidth="1"/>
    <col min="12311" max="12311" width="7.81640625" style="1" customWidth="1"/>
    <col min="12312" max="12545" width="8.81640625" style="1"/>
    <col min="12546" max="12546" width="9.1796875" style="1" customWidth="1"/>
    <col min="12547" max="12551" width="8.81640625" style="1"/>
    <col min="12552" max="12552" width="15.1796875" style="1" customWidth="1"/>
    <col min="12553" max="12554" width="9.54296875" style="1" customWidth="1"/>
    <col min="12555" max="12556" width="8.81640625" style="1"/>
    <col min="12557" max="12558" width="10.1796875" style="1" bestFit="1" customWidth="1"/>
    <col min="12559" max="12560" width="8.81640625" style="1"/>
    <col min="12561" max="12561" width="10" style="1" customWidth="1"/>
    <col min="12562" max="12562" width="11.81640625" style="1" customWidth="1"/>
    <col min="12563" max="12563" width="13.1796875" style="1" bestFit="1" customWidth="1"/>
    <col min="12564" max="12566" width="10.1796875" style="1" bestFit="1" customWidth="1"/>
    <col min="12567" max="12567" width="7.81640625" style="1" customWidth="1"/>
    <col min="12568" max="12801" width="8.81640625" style="1"/>
    <col min="12802" max="12802" width="9.1796875" style="1" customWidth="1"/>
    <col min="12803" max="12807" width="8.81640625" style="1"/>
    <col min="12808" max="12808" width="15.1796875" style="1" customWidth="1"/>
    <col min="12809" max="12810" width="9.54296875" style="1" customWidth="1"/>
    <col min="12811" max="12812" width="8.81640625" style="1"/>
    <col min="12813" max="12814" width="10.1796875" style="1" bestFit="1" customWidth="1"/>
    <col min="12815" max="12816" width="8.81640625" style="1"/>
    <col min="12817" max="12817" width="10" style="1" customWidth="1"/>
    <col min="12818" max="12818" width="11.81640625" style="1" customWidth="1"/>
    <col min="12819" max="12819" width="13.1796875" style="1" bestFit="1" customWidth="1"/>
    <col min="12820" max="12822" width="10.1796875" style="1" bestFit="1" customWidth="1"/>
    <col min="12823" max="12823" width="7.81640625" style="1" customWidth="1"/>
    <col min="12824" max="13057" width="8.81640625" style="1"/>
    <col min="13058" max="13058" width="9.1796875" style="1" customWidth="1"/>
    <col min="13059" max="13063" width="8.81640625" style="1"/>
    <col min="13064" max="13064" width="15.1796875" style="1" customWidth="1"/>
    <col min="13065" max="13066" width="9.54296875" style="1" customWidth="1"/>
    <col min="13067" max="13068" width="8.81640625" style="1"/>
    <col min="13069" max="13070" width="10.1796875" style="1" bestFit="1" customWidth="1"/>
    <col min="13071" max="13072" width="8.81640625" style="1"/>
    <col min="13073" max="13073" width="10" style="1" customWidth="1"/>
    <col min="13074" max="13074" width="11.81640625" style="1" customWidth="1"/>
    <col min="13075" max="13075" width="13.1796875" style="1" bestFit="1" customWidth="1"/>
    <col min="13076" max="13078" width="10.1796875" style="1" bestFit="1" customWidth="1"/>
    <col min="13079" max="13079" width="7.81640625" style="1" customWidth="1"/>
    <col min="13080" max="13313" width="8.81640625" style="1"/>
    <col min="13314" max="13314" width="9.1796875" style="1" customWidth="1"/>
    <col min="13315" max="13319" width="8.81640625" style="1"/>
    <col min="13320" max="13320" width="15.1796875" style="1" customWidth="1"/>
    <col min="13321" max="13322" width="9.54296875" style="1" customWidth="1"/>
    <col min="13323" max="13324" width="8.81640625" style="1"/>
    <col min="13325" max="13326" width="10.1796875" style="1" bestFit="1" customWidth="1"/>
    <col min="13327" max="13328" width="8.81640625" style="1"/>
    <col min="13329" max="13329" width="10" style="1" customWidth="1"/>
    <col min="13330" max="13330" width="11.81640625" style="1" customWidth="1"/>
    <col min="13331" max="13331" width="13.1796875" style="1" bestFit="1" customWidth="1"/>
    <col min="13332" max="13334" width="10.1796875" style="1" bestFit="1" customWidth="1"/>
    <col min="13335" max="13335" width="7.81640625" style="1" customWidth="1"/>
    <col min="13336" max="13569" width="8.81640625" style="1"/>
    <col min="13570" max="13570" width="9.1796875" style="1" customWidth="1"/>
    <col min="13571" max="13575" width="8.81640625" style="1"/>
    <col min="13576" max="13576" width="15.1796875" style="1" customWidth="1"/>
    <col min="13577" max="13578" width="9.54296875" style="1" customWidth="1"/>
    <col min="13579" max="13580" width="8.81640625" style="1"/>
    <col min="13581" max="13582" width="10.1796875" style="1" bestFit="1" customWidth="1"/>
    <col min="13583" max="13584" width="8.81640625" style="1"/>
    <col min="13585" max="13585" width="10" style="1" customWidth="1"/>
    <col min="13586" max="13586" width="11.81640625" style="1" customWidth="1"/>
    <col min="13587" max="13587" width="13.1796875" style="1" bestFit="1" customWidth="1"/>
    <col min="13588" max="13590" width="10.1796875" style="1" bestFit="1" customWidth="1"/>
    <col min="13591" max="13591" width="7.81640625" style="1" customWidth="1"/>
    <col min="13592" max="13825" width="8.81640625" style="1"/>
    <col min="13826" max="13826" width="9.1796875" style="1" customWidth="1"/>
    <col min="13827" max="13831" width="8.81640625" style="1"/>
    <col min="13832" max="13832" width="15.1796875" style="1" customWidth="1"/>
    <col min="13833" max="13834" width="9.54296875" style="1" customWidth="1"/>
    <col min="13835" max="13836" width="8.81640625" style="1"/>
    <col min="13837" max="13838" width="10.1796875" style="1" bestFit="1" customWidth="1"/>
    <col min="13839" max="13840" width="8.81640625" style="1"/>
    <col min="13841" max="13841" width="10" style="1" customWidth="1"/>
    <col min="13842" max="13842" width="11.81640625" style="1" customWidth="1"/>
    <col min="13843" max="13843" width="13.1796875" style="1" bestFit="1" customWidth="1"/>
    <col min="13844" max="13846" width="10.1796875" style="1" bestFit="1" customWidth="1"/>
    <col min="13847" max="13847" width="7.81640625" style="1" customWidth="1"/>
    <col min="13848" max="14081" width="8.81640625" style="1"/>
    <col min="14082" max="14082" width="9.1796875" style="1" customWidth="1"/>
    <col min="14083" max="14087" width="8.81640625" style="1"/>
    <col min="14088" max="14088" width="15.1796875" style="1" customWidth="1"/>
    <col min="14089" max="14090" width="9.54296875" style="1" customWidth="1"/>
    <col min="14091" max="14092" width="8.81640625" style="1"/>
    <col min="14093" max="14094" width="10.1796875" style="1" bestFit="1" customWidth="1"/>
    <col min="14095" max="14096" width="8.81640625" style="1"/>
    <col min="14097" max="14097" width="10" style="1" customWidth="1"/>
    <col min="14098" max="14098" width="11.81640625" style="1" customWidth="1"/>
    <col min="14099" max="14099" width="13.1796875" style="1" bestFit="1" customWidth="1"/>
    <col min="14100" max="14102" width="10.1796875" style="1" bestFit="1" customWidth="1"/>
    <col min="14103" max="14103" width="7.81640625" style="1" customWidth="1"/>
    <col min="14104" max="14337" width="8.81640625" style="1"/>
    <col min="14338" max="14338" width="9.1796875" style="1" customWidth="1"/>
    <col min="14339" max="14343" width="8.81640625" style="1"/>
    <col min="14344" max="14344" width="15.1796875" style="1" customWidth="1"/>
    <col min="14345" max="14346" width="9.54296875" style="1" customWidth="1"/>
    <col min="14347" max="14348" width="8.81640625" style="1"/>
    <col min="14349" max="14350" width="10.1796875" style="1" bestFit="1" customWidth="1"/>
    <col min="14351" max="14352" width="8.81640625" style="1"/>
    <col min="14353" max="14353" width="10" style="1" customWidth="1"/>
    <col min="14354" max="14354" width="11.81640625" style="1" customWidth="1"/>
    <col min="14355" max="14355" width="13.1796875" style="1" bestFit="1" customWidth="1"/>
    <col min="14356" max="14358" width="10.1796875" style="1" bestFit="1" customWidth="1"/>
    <col min="14359" max="14359" width="7.81640625" style="1" customWidth="1"/>
    <col min="14360" max="14593" width="8.81640625" style="1"/>
    <col min="14594" max="14594" width="9.1796875" style="1" customWidth="1"/>
    <col min="14595" max="14599" width="8.81640625" style="1"/>
    <col min="14600" max="14600" width="15.1796875" style="1" customWidth="1"/>
    <col min="14601" max="14602" width="9.54296875" style="1" customWidth="1"/>
    <col min="14603" max="14604" width="8.81640625" style="1"/>
    <col min="14605" max="14606" width="10.1796875" style="1" bestFit="1" customWidth="1"/>
    <col min="14607" max="14608" width="8.81640625" style="1"/>
    <col min="14609" max="14609" width="10" style="1" customWidth="1"/>
    <col min="14610" max="14610" width="11.81640625" style="1" customWidth="1"/>
    <col min="14611" max="14611" width="13.1796875" style="1" bestFit="1" customWidth="1"/>
    <col min="14612" max="14614" width="10.1796875" style="1" bestFit="1" customWidth="1"/>
    <col min="14615" max="14615" width="7.81640625" style="1" customWidth="1"/>
    <col min="14616" max="14849" width="8.81640625" style="1"/>
    <col min="14850" max="14850" width="9.1796875" style="1" customWidth="1"/>
    <col min="14851" max="14855" width="8.81640625" style="1"/>
    <col min="14856" max="14856" width="15.1796875" style="1" customWidth="1"/>
    <col min="14857" max="14858" width="9.54296875" style="1" customWidth="1"/>
    <col min="14859" max="14860" width="8.81640625" style="1"/>
    <col min="14861" max="14862" width="10.1796875" style="1" bestFit="1" customWidth="1"/>
    <col min="14863" max="14864" width="8.81640625" style="1"/>
    <col min="14865" max="14865" width="10" style="1" customWidth="1"/>
    <col min="14866" max="14866" width="11.81640625" style="1" customWidth="1"/>
    <col min="14867" max="14867" width="13.1796875" style="1" bestFit="1" customWidth="1"/>
    <col min="14868" max="14870" width="10.1796875" style="1" bestFit="1" customWidth="1"/>
    <col min="14871" max="14871" width="7.81640625" style="1" customWidth="1"/>
    <col min="14872" max="15105" width="8.81640625" style="1"/>
    <col min="15106" max="15106" width="9.1796875" style="1" customWidth="1"/>
    <col min="15107" max="15111" width="8.81640625" style="1"/>
    <col min="15112" max="15112" width="15.1796875" style="1" customWidth="1"/>
    <col min="15113" max="15114" width="9.54296875" style="1" customWidth="1"/>
    <col min="15115" max="15116" width="8.81640625" style="1"/>
    <col min="15117" max="15118" width="10.1796875" style="1" bestFit="1" customWidth="1"/>
    <col min="15119" max="15120" width="8.81640625" style="1"/>
    <col min="15121" max="15121" width="10" style="1" customWidth="1"/>
    <col min="15122" max="15122" width="11.81640625" style="1" customWidth="1"/>
    <col min="15123" max="15123" width="13.1796875" style="1" bestFit="1" customWidth="1"/>
    <col min="15124" max="15126" width="10.1796875" style="1" bestFit="1" customWidth="1"/>
    <col min="15127" max="15127" width="7.81640625" style="1" customWidth="1"/>
    <col min="15128" max="15361" width="8.81640625" style="1"/>
    <col min="15362" max="15362" width="9.1796875" style="1" customWidth="1"/>
    <col min="15363" max="15367" width="8.81640625" style="1"/>
    <col min="15368" max="15368" width="15.1796875" style="1" customWidth="1"/>
    <col min="15369" max="15370" width="9.54296875" style="1" customWidth="1"/>
    <col min="15371" max="15372" width="8.81640625" style="1"/>
    <col min="15373" max="15374" width="10.1796875" style="1" bestFit="1" customWidth="1"/>
    <col min="15375" max="15376" width="8.81640625" style="1"/>
    <col min="15377" max="15377" width="10" style="1" customWidth="1"/>
    <col min="15378" max="15378" width="11.81640625" style="1" customWidth="1"/>
    <col min="15379" max="15379" width="13.1796875" style="1" bestFit="1" customWidth="1"/>
    <col min="15380" max="15382" width="10.1796875" style="1" bestFit="1" customWidth="1"/>
    <col min="15383" max="15383" width="7.81640625" style="1" customWidth="1"/>
    <col min="15384" max="15617" width="8.81640625" style="1"/>
    <col min="15618" max="15618" width="9.1796875" style="1" customWidth="1"/>
    <col min="15619" max="15623" width="8.81640625" style="1"/>
    <col min="15624" max="15624" width="15.1796875" style="1" customWidth="1"/>
    <col min="15625" max="15626" width="9.54296875" style="1" customWidth="1"/>
    <col min="15627" max="15628" width="8.81640625" style="1"/>
    <col min="15629" max="15630" width="10.1796875" style="1" bestFit="1" customWidth="1"/>
    <col min="15631" max="15632" width="8.81640625" style="1"/>
    <col min="15633" max="15633" width="10" style="1" customWidth="1"/>
    <col min="15634" max="15634" width="11.81640625" style="1" customWidth="1"/>
    <col min="15635" max="15635" width="13.1796875" style="1" bestFit="1" customWidth="1"/>
    <col min="15636" max="15638" width="10.1796875" style="1" bestFit="1" customWidth="1"/>
    <col min="15639" max="15639" width="7.81640625" style="1" customWidth="1"/>
    <col min="15640" max="15873" width="8.81640625" style="1"/>
    <col min="15874" max="15874" width="9.1796875" style="1" customWidth="1"/>
    <col min="15875" max="15879" width="8.81640625" style="1"/>
    <col min="15880" max="15880" width="15.1796875" style="1" customWidth="1"/>
    <col min="15881" max="15882" width="9.54296875" style="1" customWidth="1"/>
    <col min="15883" max="15884" width="8.81640625" style="1"/>
    <col min="15885" max="15886" width="10.1796875" style="1" bestFit="1" customWidth="1"/>
    <col min="15887" max="15888" width="8.81640625" style="1"/>
    <col min="15889" max="15889" width="10" style="1" customWidth="1"/>
    <col min="15890" max="15890" width="11.81640625" style="1" customWidth="1"/>
    <col min="15891" max="15891" width="13.1796875" style="1" bestFit="1" customWidth="1"/>
    <col min="15892" max="15894" width="10.1796875" style="1" bestFit="1" customWidth="1"/>
    <col min="15895" max="15895" width="7.81640625" style="1" customWidth="1"/>
    <col min="15896" max="16129" width="8.81640625" style="1"/>
    <col min="16130" max="16130" width="9.1796875" style="1" customWidth="1"/>
    <col min="16131" max="16135" width="8.81640625" style="1"/>
    <col min="16136" max="16136" width="15.1796875" style="1" customWidth="1"/>
    <col min="16137" max="16138" width="9.54296875" style="1" customWidth="1"/>
    <col min="16139" max="16140" width="8.81640625" style="1"/>
    <col min="16141" max="16142" width="10.1796875" style="1" bestFit="1" customWidth="1"/>
    <col min="16143" max="16144" width="8.81640625" style="1"/>
    <col min="16145" max="16145" width="10" style="1" customWidth="1"/>
    <col min="16146" max="16146" width="11.81640625" style="1" customWidth="1"/>
    <col min="16147" max="16147" width="13.1796875" style="1" bestFit="1" customWidth="1"/>
    <col min="16148" max="16150" width="10.1796875" style="1" bestFit="1" customWidth="1"/>
    <col min="16151" max="16151" width="7.81640625" style="1" customWidth="1"/>
    <col min="16152" max="16384" width="8.81640625" style="1"/>
  </cols>
  <sheetData>
    <row r="1" spans="1:39" ht="14" x14ac:dyDescent="0.25">
      <c r="A1" s="117" t="s">
        <v>0</v>
      </c>
      <c r="B1" s="39"/>
      <c r="L1" s="2" t="s">
        <v>1</v>
      </c>
    </row>
    <row r="2" spans="1:39" ht="13" thickBot="1" x14ac:dyDescent="0.3">
      <c r="G2" s="2"/>
      <c r="H2" s="2"/>
      <c r="I2" s="2"/>
      <c r="J2" s="2"/>
      <c r="M2" s="2"/>
      <c r="N2" s="2"/>
      <c r="O2" s="2"/>
      <c r="Q2" s="2"/>
    </row>
    <row r="3" spans="1:39" x14ac:dyDescent="0.25">
      <c r="A3" s="88" t="s">
        <v>1</v>
      </c>
      <c r="B3" s="52" t="s">
        <v>2</v>
      </c>
      <c r="C3" s="52">
        <v>1211</v>
      </c>
      <c r="D3" s="52">
        <v>1213</v>
      </c>
      <c r="E3" s="52">
        <v>1219</v>
      </c>
      <c r="F3" s="52">
        <v>1222</v>
      </c>
      <c r="G3" s="52">
        <v>1223</v>
      </c>
      <c r="H3" s="52">
        <v>1229</v>
      </c>
      <c r="I3" s="52">
        <v>1231</v>
      </c>
      <c r="J3" s="52">
        <v>1233</v>
      </c>
      <c r="K3" s="52">
        <v>1241</v>
      </c>
      <c r="L3" s="52">
        <v>1242</v>
      </c>
      <c r="M3" s="52">
        <v>1243</v>
      </c>
      <c r="N3" s="52">
        <v>1249</v>
      </c>
      <c r="O3" s="52">
        <v>1251</v>
      </c>
      <c r="P3" s="52">
        <v>1252</v>
      </c>
      <c r="Q3" s="52">
        <v>1259</v>
      </c>
      <c r="R3" s="52">
        <v>1261</v>
      </c>
      <c r="S3" s="52">
        <v>1262</v>
      </c>
      <c r="T3" s="53" t="s">
        <v>3</v>
      </c>
    </row>
    <row r="4" spans="1:39" ht="38.5" customHeight="1" x14ac:dyDescent="0.25">
      <c r="A4" s="43" t="s">
        <v>4</v>
      </c>
      <c r="B4" s="44" t="s">
        <v>162</v>
      </c>
      <c r="C4" s="45" t="s">
        <v>5</v>
      </c>
      <c r="D4" s="45" t="s">
        <v>6</v>
      </c>
      <c r="E4" s="45" t="s">
        <v>7</v>
      </c>
      <c r="F4" s="45" t="s">
        <v>8</v>
      </c>
      <c r="G4" s="45" t="s">
        <v>9</v>
      </c>
      <c r="H4" s="45" t="s">
        <v>10</v>
      </c>
      <c r="I4" s="45" t="s">
        <v>11</v>
      </c>
      <c r="J4" s="45" t="s">
        <v>12</v>
      </c>
      <c r="K4" s="45" t="s">
        <v>13</v>
      </c>
      <c r="L4" s="45" t="s">
        <v>14</v>
      </c>
      <c r="M4" s="45" t="s">
        <v>15</v>
      </c>
      <c r="N4" s="45" t="s">
        <v>16</v>
      </c>
      <c r="O4" s="45" t="s">
        <v>17</v>
      </c>
      <c r="P4" s="45" t="s">
        <v>18</v>
      </c>
      <c r="Q4" s="45" t="s">
        <v>19</v>
      </c>
      <c r="R4" s="45" t="s">
        <v>20</v>
      </c>
      <c r="S4" s="45" t="s">
        <v>21</v>
      </c>
      <c r="T4" s="46"/>
      <c r="V4" s="4"/>
    </row>
    <row r="5" spans="1:39" x14ac:dyDescent="0.25">
      <c r="A5" s="5" t="s">
        <v>22</v>
      </c>
      <c r="B5" s="42" t="s">
        <v>93</v>
      </c>
      <c r="C5" s="6">
        <v>24718</v>
      </c>
      <c r="D5" s="6">
        <v>200619.40784538002</v>
      </c>
      <c r="E5" s="6">
        <v>13592</v>
      </c>
      <c r="F5" s="6">
        <v>0</v>
      </c>
      <c r="G5" s="6">
        <v>0</v>
      </c>
      <c r="H5" s="6">
        <v>57455.999999999985</v>
      </c>
      <c r="I5" s="6">
        <v>9670</v>
      </c>
      <c r="J5" s="6">
        <v>0</v>
      </c>
      <c r="K5" s="6">
        <v>15465</v>
      </c>
      <c r="L5" s="6">
        <v>6699</v>
      </c>
      <c r="M5" s="6">
        <v>0</v>
      </c>
      <c r="N5" s="6">
        <v>13927</v>
      </c>
      <c r="O5" s="6">
        <v>0</v>
      </c>
      <c r="P5" s="6">
        <v>0</v>
      </c>
      <c r="Q5" s="6">
        <v>0</v>
      </c>
      <c r="R5" s="6"/>
      <c r="S5" s="6">
        <v>0</v>
      </c>
      <c r="T5" s="7">
        <v>342146.40784538002</v>
      </c>
      <c r="V5" s="8"/>
      <c r="W5" s="8"/>
      <c r="X5" s="19"/>
    </row>
    <row r="6" spans="1:39" x14ac:dyDescent="0.25">
      <c r="A6" s="9" t="s">
        <v>23</v>
      </c>
      <c r="B6" s="99" t="s">
        <v>120</v>
      </c>
      <c r="C6" s="10">
        <v>68537</v>
      </c>
      <c r="D6" s="10">
        <v>529305</v>
      </c>
      <c r="E6" s="10">
        <v>38021</v>
      </c>
      <c r="F6" s="10">
        <v>0</v>
      </c>
      <c r="G6" s="10">
        <v>0</v>
      </c>
      <c r="H6" s="10">
        <v>125153.99999999999</v>
      </c>
      <c r="I6" s="10">
        <v>26965</v>
      </c>
      <c r="J6" s="10">
        <v>0</v>
      </c>
      <c r="K6" s="10">
        <v>169</v>
      </c>
      <c r="L6" s="10">
        <v>0</v>
      </c>
      <c r="M6" s="10">
        <v>0</v>
      </c>
      <c r="N6" s="10">
        <v>0</v>
      </c>
      <c r="O6" s="10">
        <v>0</v>
      </c>
      <c r="P6" s="10">
        <v>0</v>
      </c>
      <c r="Q6" s="10">
        <v>0</v>
      </c>
      <c r="R6" s="10"/>
      <c r="S6" s="10">
        <v>0</v>
      </c>
      <c r="T6" s="11">
        <v>788151</v>
      </c>
      <c r="V6" s="8"/>
      <c r="W6" s="8"/>
    </row>
    <row r="7" spans="1:39" x14ac:dyDescent="0.25">
      <c r="A7" s="12" t="s">
        <v>24</v>
      </c>
      <c r="B7" s="100" t="s">
        <v>121</v>
      </c>
      <c r="C7" s="13">
        <v>12550</v>
      </c>
      <c r="D7" s="13">
        <v>99580</v>
      </c>
      <c r="E7" s="13">
        <v>11662</v>
      </c>
      <c r="F7" s="13">
        <v>24</v>
      </c>
      <c r="G7" s="13">
        <v>0</v>
      </c>
      <c r="H7" s="13">
        <v>59053</v>
      </c>
      <c r="I7" s="13">
        <v>17090</v>
      </c>
      <c r="J7" s="13">
        <v>0</v>
      </c>
      <c r="K7" s="13">
        <v>389</v>
      </c>
      <c r="L7" s="13">
        <v>0</v>
      </c>
      <c r="M7" s="13">
        <v>0</v>
      </c>
      <c r="N7" s="13">
        <v>0</v>
      </c>
      <c r="O7" s="13">
        <v>0</v>
      </c>
      <c r="P7" s="13">
        <v>0</v>
      </c>
      <c r="Q7" s="13">
        <v>0</v>
      </c>
      <c r="R7" s="13"/>
      <c r="S7" s="13">
        <v>0</v>
      </c>
      <c r="T7" s="14">
        <v>200348</v>
      </c>
      <c r="V7" s="8"/>
      <c r="W7" s="8"/>
    </row>
    <row r="8" spans="1:39" x14ac:dyDescent="0.25">
      <c r="A8" s="12" t="s">
        <v>25</v>
      </c>
      <c r="B8" s="100" t="s">
        <v>94</v>
      </c>
      <c r="C8" s="13">
        <v>13567</v>
      </c>
      <c r="D8" s="13">
        <v>160415.68107206988</v>
      </c>
      <c r="E8" s="13">
        <v>6711</v>
      </c>
      <c r="F8" s="13">
        <v>135</v>
      </c>
      <c r="G8" s="13">
        <v>0</v>
      </c>
      <c r="H8" s="13">
        <v>80933</v>
      </c>
      <c r="I8" s="13">
        <v>10631</v>
      </c>
      <c r="J8" s="13">
        <v>0</v>
      </c>
      <c r="K8" s="13">
        <v>44737</v>
      </c>
      <c r="L8" s="13">
        <v>0</v>
      </c>
      <c r="M8" s="13">
        <v>0</v>
      </c>
      <c r="N8" s="13">
        <v>0</v>
      </c>
      <c r="O8" s="13">
        <v>0</v>
      </c>
      <c r="P8" s="13">
        <v>36</v>
      </c>
      <c r="Q8" s="13">
        <v>0</v>
      </c>
      <c r="R8" s="13"/>
      <c r="S8" s="13">
        <v>0</v>
      </c>
      <c r="T8" s="14">
        <v>317165.68107206991</v>
      </c>
      <c r="V8" s="8"/>
      <c r="W8" s="8"/>
    </row>
    <row r="9" spans="1:39" x14ac:dyDescent="0.25">
      <c r="A9" s="12" t="s">
        <v>26</v>
      </c>
      <c r="B9" s="100" t="s">
        <v>95</v>
      </c>
      <c r="C9" s="13">
        <v>14934</v>
      </c>
      <c r="D9" s="13">
        <v>157022.89160768819</v>
      </c>
      <c r="E9" s="13">
        <v>7854</v>
      </c>
      <c r="F9" s="13">
        <v>2</v>
      </c>
      <c r="G9" s="13">
        <v>0</v>
      </c>
      <c r="H9" s="13">
        <v>84577</v>
      </c>
      <c r="I9" s="13">
        <v>19173</v>
      </c>
      <c r="J9" s="13">
        <v>0</v>
      </c>
      <c r="K9" s="13">
        <v>611</v>
      </c>
      <c r="L9" s="13">
        <v>3092</v>
      </c>
      <c r="M9" s="13">
        <v>6</v>
      </c>
      <c r="N9" s="13">
        <v>0</v>
      </c>
      <c r="O9" s="13">
        <v>0</v>
      </c>
      <c r="P9" s="13">
        <v>0</v>
      </c>
      <c r="Q9" s="13">
        <v>0</v>
      </c>
      <c r="R9" s="13"/>
      <c r="S9" s="13">
        <v>0</v>
      </c>
      <c r="T9" s="14">
        <v>287271.89160768816</v>
      </c>
      <c r="V9" s="8"/>
      <c r="W9" s="8"/>
    </row>
    <row r="10" spans="1:39" x14ac:dyDescent="0.25">
      <c r="A10" s="15" t="s">
        <v>27</v>
      </c>
      <c r="B10" s="101" t="s">
        <v>96</v>
      </c>
      <c r="C10" s="16">
        <v>2632</v>
      </c>
      <c r="D10" s="16">
        <v>23744</v>
      </c>
      <c r="E10" s="16">
        <v>798</v>
      </c>
      <c r="F10" s="16">
        <v>0</v>
      </c>
      <c r="G10" s="16">
        <v>0</v>
      </c>
      <c r="H10" s="16">
        <v>46124</v>
      </c>
      <c r="I10" s="16">
        <v>4609</v>
      </c>
      <c r="J10" s="16">
        <v>0</v>
      </c>
      <c r="K10" s="16">
        <v>6251</v>
      </c>
      <c r="L10" s="16">
        <v>0</v>
      </c>
      <c r="M10" s="16">
        <v>0</v>
      </c>
      <c r="N10" s="16">
        <v>59</v>
      </c>
      <c r="O10" s="16">
        <v>0</v>
      </c>
      <c r="P10" s="16">
        <v>0</v>
      </c>
      <c r="Q10" s="16">
        <v>0</v>
      </c>
      <c r="R10" s="16"/>
      <c r="S10" s="16">
        <v>0</v>
      </c>
      <c r="T10" s="17">
        <v>84217</v>
      </c>
      <c r="U10" s="18" t="s">
        <v>1</v>
      </c>
      <c r="V10" s="8"/>
      <c r="W10" s="8"/>
      <c r="X10" s="19"/>
      <c r="AM10" s="19"/>
    </row>
    <row r="11" spans="1:39" x14ac:dyDescent="0.25">
      <c r="A11" s="20" t="s">
        <v>28</v>
      </c>
      <c r="B11" s="102" t="s">
        <v>122</v>
      </c>
      <c r="C11" s="21">
        <v>99703</v>
      </c>
      <c r="D11" s="21">
        <v>929301.72385969025</v>
      </c>
      <c r="E11" s="21">
        <v>50522</v>
      </c>
      <c r="F11" s="21">
        <v>1213</v>
      </c>
      <c r="G11" s="21">
        <v>0</v>
      </c>
      <c r="H11" s="21">
        <v>369158</v>
      </c>
      <c r="I11" s="21">
        <v>58975</v>
      </c>
      <c r="J11" s="21">
        <v>0</v>
      </c>
      <c r="K11" s="21">
        <v>8498</v>
      </c>
      <c r="L11" s="21">
        <v>13581</v>
      </c>
      <c r="M11" s="21">
        <v>313</v>
      </c>
      <c r="N11" s="21">
        <v>0</v>
      </c>
      <c r="O11" s="21">
        <v>0</v>
      </c>
      <c r="P11" s="21">
        <v>0</v>
      </c>
      <c r="Q11" s="21">
        <v>0</v>
      </c>
      <c r="R11" s="21"/>
      <c r="S11" s="21">
        <v>0</v>
      </c>
      <c r="T11" s="22">
        <v>1531264.7238596901</v>
      </c>
      <c r="V11" s="8"/>
      <c r="W11" s="8"/>
    </row>
    <row r="12" spans="1:39" x14ac:dyDescent="0.25">
      <c r="A12" s="12" t="s">
        <v>29</v>
      </c>
      <c r="B12" s="100" t="s">
        <v>123</v>
      </c>
      <c r="C12" s="13">
        <v>69001</v>
      </c>
      <c r="D12" s="13">
        <v>647741.88607056858</v>
      </c>
      <c r="E12" s="13">
        <v>27077</v>
      </c>
      <c r="F12" s="13">
        <v>726</v>
      </c>
      <c r="G12" s="13">
        <v>0</v>
      </c>
      <c r="H12" s="13">
        <v>239644.00000000003</v>
      </c>
      <c r="I12" s="13">
        <v>40331</v>
      </c>
      <c r="J12" s="13">
        <v>0</v>
      </c>
      <c r="K12" s="13">
        <v>5761</v>
      </c>
      <c r="L12" s="13">
        <v>9205</v>
      </c>
      <c r="M12" s="13">
        <v>1383</v>
      </c>
      <c r="N12" s="13">
        <v>0</v>
      </c>
      <c r="O12" s="13">
        <v>0</v>
      </c>
      <c r="P12" s="13">
        <v>0</v>
      </c>
      <c r="Q12" s="13">
        <v>0</v>
      </c>
      <c r="R12" s="13"/>
      <c r="S12" s="13">
        <v>0</v>
      </c>
      <c r="T12" s="14">
        <v>1040869.8860705686</v>
      </c>
      <c r="V12" s="8"/>
      <c r="W12" s="8"/>
    </row>
    <row r="13" spans="1:39" x14ac:dyDescent="0.25">
      <c r="A13" s="12" t="s">
        <v>30</v>
      </c>
      <c r="B13" s="100" t="s">
        <v>124</v>
      </c>
      <c r="C13" s="13">
        <v>0</v>
      </c>
      <c r="D13" s="13">
        <v>0</v>
      </c>
      <c r="E13" s="13">
        <v>21</v>
      </c>
      <c r="F13" s="13">
        <v>0</v>
      </c>
      <c r="G13" s="13">
        <v>0</v>
      </c>
      <c r="H13" s="13">
        <v>9</v>
      </c>
      <c r="I13" s="13">
        <v>0</v>
      </c>
      <c r="J13" s="13">
        <v>0</v>
      </c>
      <c r="K13" s="13">
        <v>904295</v>
      </c>
      <c r="L13" s="13">
        <v>0</v>
      </c>
      <c r="M13" s="13">
        <v>0</v>
      </c>
      <c r="N13" s="13">
        <v>100</v>
      </c>
      <c r="O13" s="13">
        <v>0</v>
      </c>
      <c r="P13" s="13">
        <v>0</v>
      </c>
      <c r="Q13" s="13">
        <v>0</v>
      </c>
      <c r="R13" s="13"/>
      <c r="S13" s="13">
        <v>0</v>
      </c>
      <c r="T13" s="14">
        <v>904425</v>
      </c>
      <c r="V13" s="8"/>
      <c r="W13" s="8"/>
    </row>
    <row r="14" spans="1:39" x14ac:dyDescent="0.25">
      <c r="A14" s="12" t="s">
        <v>31</v>
      </c>
      <c r="B14" s="100" t="s">
        <v>125</v>
      </c>
      <c r="C14" s="13">
        <v>0</v>
      </c>
      <c r="D14" s="13">
        <v>0</v>
      </c>
      <c r="E14" s="13">
        <v>0</v>
      </c>
      <c r="F14" s="13">
        <v>0</v>
      </c>
      <c r="G14" s="13">
        <v>0</v>
      </c>
      <c r="H14" s="13">
        <v>0</v>
      </c>
      <c r="I14" s="13">
        <v>0</v>
      </c>
      <c r="J14" s="13">
        <v>0</v>
      </c>
      <c r="K14" s="13">
        <v>0</v>
      </c>
      <c r="L14" s="13">
        <v>0</v>
      </c>
      <c r="M14" s="13">
        <v>0</v>
      </c>
      <c r="N14" s="13">
        <v>0</v>
      </c>
      <c r="O14" s="13">
        <v>0</v>
      </c>
      <c r="P14" s="13">
        <v>0</v>
      </c>
      <c r="Q14" s="13">
        <v>0</v>
      </c>
      <c r="R14" s="13"/>
      <c r="S14" s="13">
        <v>0</v>
      </c>
      <c r="T14" s="14">
        <v>0</v>
      </c>
      <c r="V14" s="8"/>
      <c r="W14" s="8"/>
    </row>
    <row r="15" spans="1:39" x14ac:dyDescent="0.25">
      <c r="A15" s="12" t="s">
        <v>32</v>
      </c>
      <c r="B15" s="100" t="s">
        <v>126</v>
      </c>
      <c r="C15" s="13">
        <v>21657</v>
      </c>
      <c r="D15" s="13">
        <v>206671</v>
      </c>
      <c r="E15" s="13">
        <v>13299</v>
      </c>
      <c r="F15" s="13">
        <v>1125</v>
      </c>
      <c r="G15" s="13">
        <v>0</v>
      </c>
      <c r="H15" s="13">
        <v>119888.00000000001</v>
      </c>
      <c r="I15" s="13">
        <v>21610</v>
      </c>
      <c r="J15" s="13">
        <v>0</v>
      </c>
      <c r="K15" s="13">
        <v>38624</v>
      </c>
      <c r="L15" s="13">
        <v>52728</v>
      </c>
      <c r="M15" s="13">
        <v>0</v>
      </c>
      <c r="N15" s="13">
        <v>1113</v>
      </c>
      <c r="O15" s="13">
        <v>99</v>
      </c>
      <c r="P15" s="13">
        <v>927</v>
      </c>
      <c r="Q15" s="13">
        <v>0</v>
      </c>
      <c r="R15" s="13"/>
      <c r="S15" s="13">
        <v>0</v>
      </c>
      <c r="T15" s="14">
        <v>477741</v>
      </c>
      <c r="V15" s="8"/>
      <c r="W15" s="8"/>
    </row>
    <row r="16" spans="1:39" x14ac:dyDescent="0.25">
      <c r="A16" s="12" t="s">
        <v>33</v>
      </c>
      <c r="B16" s="100" t="s">
        <v>127</v>
      </c>
      <c r="C16" s="13">
        <v>651</v>
      </c>
      <c r="D16" s="13">
        <v>6041</v>
      </c>
      <c r="E16" s="13">
        <v>444</v>
      </c>
      <c r="F16" s="13">
        <v>2</v>
      </c>
      <c r="G16" s="13">
        <v>0</v>
      </c>
      <c r="H16" s="13">
        <v>2974</v>
      </c>
      <c r="I16" s="13">
        <v>3059</v>
      </c>
      <c r="J16" s="13">
        <v>0</v>
      </c>
      <c r="K16" s="13">
        <v>10001</v>
      </c>
      <c r="L16" s="13">
        <v>13376</v>
      </c>
      <c r="M16" s="13">
        <v>0</v>
      </c>
      <c r="N16" s="13">
        <v>78</v>
      </c>
      <c r="O16" s="13">
        <v>26</v>
      </c>
      <c r="P16" s="13">
        <v>162</v>
      </c>
      <c r="Q16" s="13">
        <v>0</v>
      </c>
      <c r="R16" s="13"/>
      <c r="S16" s="13">
        <v>0</v>
      </c>
      <c r="T16" s="14">
        <v>36814</v>
      </c>
      <c r="V16" s="8"/>
      <c r="W16" s="8"/>
    </row>
    <row r="17" spans="1:24" x14ac:dyDescent="0.25">
      <c r="A17" s="12" t="s">
        <v>34</v>
      </c>
      <c r="B17" s="100" t="s">
        <v>97</v>
      </c>
      <c r="C17" s="13">
        <v>14331</v>
      </c>
      <c r="D17" s="13">
        <v>139357.39006974112</v>
      </c>
      <c r="E17" s="13">
        <v>5561</v>
      </c>
      <c r="F17" s="13">
        <v>4</v>
      </c>
      <c r="G17" s="13">
        <v>0</v>
      </c>
      <c r="H17" s="13">
        <v>26965.000000000004</v>
      </c>
      <c r="I17" s="13">
        <v>8137</v>
      </c>
      <c r="J17" s="13">
        <v>0</v>
      </c>
      <c r="K17" s="13">
        <v>14484</v>
      </c>
      <c r="L17" s="13">
        <v>1992</v>
      </c>
      <c r="M17" s="13">
        <v>157</v>
      </c>
      <c r="N17" s="13">
        <v>0</v>
      </c>
      <c r="O17" s="13">
        <v>0</v>
      </c>
      <c r="P17" s="13">
        <v>0</v>
      </c>
      <c r="Q17" s="13">
        <v>0</v>
      </c>
      <c r="R17" s="13"/>
      <c r="S17" s="13">
        <v>0</v>
      </c>
      <c r="T17" s="14">
        <v>210988.39006974112</v>
      </c>
      <c r="V17" s="8"/>
      <c r="W17" s="8"/>
    </row>
    <row r="18" spans="1:24" x14ac:dyDescent="0.25">
      <c r="A18" s="12" t="s">
        <v>35</v>
      </c>
      <c r="B18" s="100" t="s">
        <v>128</v>
      </c>
      <c r="C18" s="13">
        <v>0</v>
      </c>
      <c r="D18" s="13">
        <v>251</v>
      </c>
      <c r="E18" s="13">
        <v>0</v>
      </c>
      <c r="F18" s="13">
        <v>0</v>
      </c>
      <c r="G18" s="13">
        <v>0</v>
      </c>
      <c r="H18" s="13">
        <v>35</v>
      </c>
      <c r="I18" s="13">
        <v>0</v>
      </c>
      <c r="J18" s="13">
        <v>0</v>
      </c>
      <c r="K18" s="13">
        <v>30735</v>
      </c>
      <c r="L18" s="13">
        <v>0</v>
      </c>
      <c r="M18" s="13">
        <v>0</v>
      </c>
      <c r="N18" s="13">
        <v>0</v>
      </c>
      <c r="O18" s="13">
        <v>0</v>
      </c>
      <c r="P18" s="13">
        <v>0</v>
      </c>
      <c r="Q18" s="13">
        <v>0</v>
      </c>
      <c r="R18" s="13"/>
      <c r="S18" s="13">
        <v>0</v>
      </c>
      <c r="T18" s="14">
        <v>31021</v>
      </c>
      <c r="V18" s="8"/>
      <c r="W18" s="8"/>
    </row>
    <row r="19" spans="1:24" x14ac:dyDescent="0.25">
      <c r="A19" s="12" t="s">
        <v>36</v>
      </c>
      <c r="B19" s="100" t="s">
        <v>129</v>
      </c>
      <c r="C19" s="13">
        <v>120</v>
      </c>
      <c r="D19" s="13">
        <v>1219</v>
      </c>
      <c r="E19" s="13">
        <v>0</v>
      </c>
      <c r="F19" s="13">
        <v>0</v>
      </c>
      <c r="G19" s="13">
        <v>0</v>
      </c>
      <c r="H19" s="13">
        <v>276</v>
      </c>
      <c r="I19" s="13">
        <v>0</v>
      </c>
      <c r="J19" s="13">
        <v>0</v>
      </c>
      <c r="K19" s="13">
        <v>21508</v>
      </c>
      <c r="L19" s="13">
        <v>0</v>
      </c>
      <c r="M19" s="13">
        <v>0</v>
      </c>
      <c r="N19" s="13">
        <v>0</v>
      </c>
      <c r="O19" s="13">
        <v>0</v>
      </c>
      <c r="P19" s="13">
        <v>0</v>
      </c>
      <c r="Q19" s="13">
        <v>0</v>
      </c>
      <c r="R19" s="13"/>
      <c r="S19" s="13">
        <v>0</v>
      </c>
      <c r="T19" s="14">
        <v>23123</v>
      </c>
      <c r="V19" s="8"/>
      <c r="W19" s="8"/>
    </row>
    <row r="20" spans="1:24" x14ac:dyDescent="0.25">
      <c r="A20" s="12" t="s">
        <v>37</v>
      </c>
      <c r="B20" s="100" t="s">
        <v>130</v>
      </c>
      <c r="C20" s="13">
        <v>0</v>
      </c>
      <c r="D20" s="13">
        <v>0</v>
      </c>
      <c r="E20" s="13">
        <v>0</v>
      </c>
      <c r="F20" s="13">
        <v>0</v>
      </c>
      <c r="G20" s="13">
        <v>28262</v>
      </c>
      <c r="H20" s="13">
        <v>0</v>
      </c>
      <c r="I20" s="13">
        <v>1</v>
      </c>
      <c r="J20" s="13">
        <v>0</v>
      </c>
      <c r="K20" s="13">
        <v>0</v>
      </c>
      <c r="L20" s="13">
        <v>0</v>
      </c>
      <c r="M20" s="13">
        <v>376</v>
      </c>
      <c r="N20" s="13">
        <v>0</v>
      </c>
      <c r="O20" s="13">
        <v>0</v>
      </c>
      <c r="P20" s="13">
        <v>0</v>
      </c>
      <c r="Q20" s="13">
        <v>0</v>
      </c>
      <c r="R20" s="13"/>
      <c r="S20" s="13">
        <v>0</v>
      </c>
      <c r="T20" s="14">
        <v>28639</v>
      </c>
      <c r="V20" s="8"/>
      <c r="W20" s="8"/>
    </row>
    <row r="21" spans="1:24" x14ac:dyDescent="0.25">
      <c r="A21" s="15" t="s">
        <v>38</v>
      </c>
      <c r="B21" s="101" t="s">
        <v>98</v>
      </c>
      <c r="C21" s="16">
        <v>90</v>
      </c>
      <c r="D21" s="16">
        <v>694</v>
      </c>
      <c r="E21" s="16">
        <v>0</v>
      </c>
      <c r="F21" s="16">
        <v>0</v>
      </c>
      <c r="G21" s="16">
        <v>0</v>
      </c>
      <c r="H21" s="16">
        <v>1969</v>
      </c>
      <c r="I21" s="16">
        <v>6</v>
      </c>
      <c r="J21" s="16">
        <v>0</v>
      </c>
      <c r="K21" s="16">
        <v>0</v>
      </c>
      <c r="L21" s="16">
        <v>0</v>
      </c>
      <c r="M21" s="16">
        <v>0</v>
      </c>
      <c r="N21" s="16">
        <v>0</v>
      </c>
      <c r="O21" s="16">
        <v>0</v>
      </c>
      <c r="P21" s="16">
        <v>0</v>
      </c>
      <c r="Q21" s="16">
        <v>0</v>
      </c>
      <c r="R21" s="16"/>
      <c r="S21" s="16">
        <v>0</v>
      </c>
      <c r="T21" s="17">
        <v>2759</v>
      </c>
      <c r="V21" s="8"/>
      <c r="W21" s="8"/>
      <c r="X21" s="19"/>
    </row>
    <row r="22" spans="1:24" x14ac:dyDescent="0.25">
      <c r="A22" s="20" t="s">
        <v>39</v>
      </c>
      <c r="B22" s="102" t="s">
        <v>131</v>
      </c>
      <c r="C22" s="21">
        <v>224068</v>
      </c>
      <c r="D22" s="21">
        <v>2366540.0344418604</v>
      </c>
      <c r="E22" s="21">
        <v>48399</v>
      </c>
      <c r="F22" s="21">
        <v>4067</v>
      </c>
      <c r="G22" s="21">
        <v>0</v>
      </c>
      <c r="H22" s="21">
        <v>1359658</v>
      </c>
      <c r="I22" s="21">
        <v>133924</v>
      </c>
      <c r="J22" s="21">
        <v>0</v>
      </c>
      <c r="K22" s="21">
        <v>1959</v>
      </c>
      <c r="L22" s="21">
        <v>0</v>
      </c>
      <c r="M22" s="21">
        <v>0</v>
      </c>
      <c r="N22" s="21">
        <v>354</v>
      </c>
      <c r="O22" s="21">
        <v>0</v>
      </c>
      <c r="P22" s="21">
        <v>0</v>
      </c>
      <c r="Q22" s="21">
        <v>0</v>
      </c>
      <c r="R22" s="21"/>
      <c r="S22" s="21">
        <v>0</v>
      </c>
      <c r="T22" s="22">
        <v>4138969.0344418604</v>
      </c>
      <c r="V22" s="8"/>
      <c r="W22" s="8"/>
    </row>
    <row r="23" spans="1:24" x14ac:dyDescent="0.25">
      <c r="A23" s="12" t="s">
        <v>40</v>
      </c>
      <c r="B23" s="100" t="s">
        <v>132</v>
      </c>
      <c r="C23" s="13">
        <v>29338</v>
      </c>
      <c r="D23" s="13">
        <v>299504</v>
      </c>
      <c r="E23" s="13">
        <v>6600</v>
      </c>
      <c r="F23" s="13">
        <v>215</v>
      </c>
      <c r="G23" s="13">
        <v>0</v>
      </c>
      <c r="H23" s="13">
        <v>80136</v>
      </c>
      <c r="I23" s="13">
        <v>1308</v>
      </c>
      <c r="J23" s="13">
        <v>0</v>
      </c>
      <c r="K23" s="13">
        <v>3</v>
      </c>
      <c r="L23" s="13">
        <v>0</v>
      </c>
      <c r="M23" s="13">
        <v>0</v>
      </c>
      <c r="N23" s="13">
        <v>0</v>
      </c>
      <c r="O23" s="13">
        <v>0</v>
      </c>
      <c r="P23" s="13">
        <v>0</v>
      </c>
      <c r="Q23" s="13">
        <v>0</v>
      </c>
      <c r="R23" s="13"/>
      <c r="S23" s="13">
        <v>0</v>
      </c>
      <c r="T23" s="14">
        <v>417104</v>
      </c>
      <c r="V23" s="8"/>
      <c r="W23" s="8"/>
    </row>
    <row r="24" spans="1:24" x14ac:dyDescent="0.25">
      <c r="A24" s="12" t="s">
        <v>41</v>
      </c>
      <c r="B24" s="100" t="s">
        <v>133</v>
      </c>
      <c r="C24" s="13">
        <v>0</v>
      </c>
      <c r="D24" s="13">
        <v>0</v>
      </c>
      <c r="E24" s="13">
        <v>0</v>
      </c>
      <c r="F24" s="13">
        <v>0</v>
      </c>
      <c r="G24" s="13">
        <v>0</v>
      </c>
      <c r="H24" s="13">
        <v>0</v>
      </c>
      <c r="I24" s="13">
        <v>0</v>
      </c>
      <c r="J24" s="13">
        <v>0</v>
      </c>
      <c r="K24" s="13">
        <v>0</v>
      </c>
      <c r="L24" s="13">
        <v>0</v>
      </c>
      <c r="M24" s="13">
        <v>0</v>
      </c>
      <c r="N24" s="13">
        <v>0</v>
      </c>
      <c r="O24" s="13">
        <v>0</v>
      </c>
      <c r="P24" s="13">
        <v>0</v>
      </c>
      <c r="Q24" s="13">
        <v>0</v>
      </c>
      <c r="R24" s="13"/>
      <c r="S24" s="13">
        <v>0</v>
      </c>
      <c r="T24" s="14">
        <v>0</v>
      </c>
      <c r="V24" s="8"/>
      <c r="W24" s="8"/>
    </row>
    <row r="25" spans="1:24" x14ac:dyDescent="0.25">
      <c r="A25" s="12" t="s">
        <v>42</v>
      </c>
      <c r="B25" s="100" t="s">
        <v>99</v>
      </c>
      <c r="C25" s="13">
        <v>0</v>
      </c>
      <c r="D25" s="13">
        <v>0</v>
      </c>
      <c r="E25" s="13">
        <v>0</v>
      </c>
      <c r="F25" s="13">
        <v>0</v>
      </c>
      <c r="G25" s="13">
        <v>0</v>
      </c>
      <c r="H25" s="13">
        <v>0</v>
      </c>
      <c r="I25" s="13">
        <v>0</v>
      </c>
      <c r="J25" s="13">
        <v>0</v>
      </c>
      <c r="K25" s="13">
        <v>0</v>
      </c>
      <c r="L25" s="13">
        <v>0</v>
      </c>
      <c r="M25" s="13">
        <v>0</v>
      </c>
      <c r="N25" s="13">
        <v>0</v>
      </c>
      <c r="O25" s="13">
        <v>0</v>
      </c>
      <c r="P25" s="13">
        <v>0</v>
      </c>
      <c r="Q25" s="13">
        <v>0</v>
      </c>
      <c r="R25" s="13"/>
      <c r="S25" s="13">
        <v>0</v>
      </c>
      <c r="T25" s="14">
        <v>0</v>
      </c>
      <c r="V25" s="8"/>
      <c r="W25" s="8"/>
    </row>
    <row r="26" spans="1:24" x14ac:dyDescent="0.25">
      <c r="A26" s="12" t="s">
        <v>43</v>
      </c>
      <c r="B26" s="100" t="s">
        <v>134</v>
      </c>
      <c r="C26" s="13">
        <v>422</v>
      </c>
      <c r="D26" s="13">
        <v>4087.8620216469862</v>
      </c>
      <c r="E26" s="13">
        <v>5931</v>
      </c>
      <c r="F26" s="13">
        <v>0</v>
      </c>
      <c r="G26" s="13">
        <v>0</v>
      </c>
      <c r="H26" s="13">
        <v>188</v>
      </c>
      <c r="I26" s="13">
        <v>6762</v>
      </c>
      <c r="J26" s="13">
        <v>0</v>
      </c>
      <c r="K26" s="13">
        <v>3203</v>
      </c>
      <c r="L26" s="13">
        <v>0</v>
      </c>
      <c r="M26" s="13">
        <v>0</v>
      </c>
      <c r="N26" s="13">
        <v>0</v>
      </c>
      <c r="O26" s="13">
        <v>0</v>
      </c>
      <c r="P26" s="13">
        <v>0</v>
      </c>
      <c r="Q26" s="13">
        <v>0</v>
      </c>
      <c r="R26" s="13"/>
      <c r="S26" s="13">
        <v>0</v>
      </c>
      <c r="T26" s="14">
        <v>20593.862021646986</v>
      </c>
      <c r="V26" s="8"/>
      <c r="W26" s="8"/>
    </row>
    <row r="27" spans="1:24" x14ac:dyDescent="0.25">
      <c r="A27" s="12" t="s">
        <v>44</v>
      </c>
      <c r="B27" s="100" t="s">
        <v>135</v>
      </c>
      <c r="C27" s="13">
        <v>14579</v>
      </c>
      <c r="D27" s="13">
        <v>146183.46191272995</v>
      </c>
      <c r="E27" s="13">
        <v>7635</v>
      </c>
      <c r="F27" s="13">
        <v>13776</v>
      </c>
      <c r="G27" s="13">
        <v>0</v>
      </c>
      <c r="H27" s="13">
        <v>43408</v>
      </c>
      <c r="I27" s="13">
        <v>9195</v>
      </c>
      <c r="J27" s="13">
        <v>0</v>
      </c>
      <c r="K27" s="13">
        <v>0</v>
      </c>
      <c r="L27" s="13">
        <v>0</v>
      </c>
      <c r="M27" s="13">
        <v>0</v>
      </c>
      <c r="N27" s="13">
        <v>0</v>
      </c>
      <c r="O27" s="13">
        <v>0</v>
      </c>
      <c r="P27" s="13">
        <v>0</v>
      </c>
      <c r="Q27" s="13">
        <v>0</v>
      </c>
      <c r="R27" s="13"/>
      <c r="S27" s="13">
        <v>0</v>
      </c>
      <c r="T27" s="14">
        <v>234776.46191272995</v>
      </c>
      <c r="V27" s="8"/>
      <c r="W27" s="8"/>
    </row>
    <row r="28" spans="1:24" x14ac:dyDescent="0.25">
      <c r="A28" s="12" t="s">
        <v>45</v>
      </c>
      <c r="B28" s="100" t="s">
        <v>136</v>
      </c>
      <c r="C28" s="13">
        <v>6626</v>
      </c>
      <c r="D28" s="13">
        <v>57462.015175883542</v>
      </c>
      <c r="E28" s="13">
        <v>16070</v>
      </c>
      <c r="F28" s="13">
        <v>210</v>
      </c>
      <c r="G28" s="13">
        <v>0</v>
      </c>
      <c r="H28" s="13">
        <v>53550</v>
      </c>
      <c r="I28" s="13">
        <v>6361</v>
      </c>
      <c r="J28" s="13">
        <v>0</v>
      </c>
      <c r="K28" s="13">
        <v>33555</v>
      </c>
      <c r="L28" s="13">
        <v>12</v>
      </c>
      <c r="M28" s="13">
        <v>0</v>
      </c>
      <c r="N28" s="13">
        <v>0</v>
      </c>
      <c r="O28" s="13">
        <v>0</v>
      </c>
      <c r="P28" s="13">
        <v>4</v>
      </c>
      <c r="Q28" s="13">
        <v>0</v>
      </c>
      <c r="R28" s="13"/>
      <c r="S28" s="13">
        <v>0</v>
      </c>
      <c r="T28" s="14">
        <v>173850.01517588354</v>
      </c>
      <c r="V28" s="8"/>
      <c r="W28" s="8"/>
    </row>
    <row r="29" spans="1:24" x14ac:dyDescent="0.25">
      <c r="A29" s="12" t="s">
        <v>46</v>
      </c>
      <c r="B29" s="100" t="s">
        <v>100</v>
      </c>
      <c r="C29" s="13">
        <v>7200</v>
      </c>
      <c r="D29" s="13">
        <v>68712.730058800807</v>
      </c>
      <c r="E29" s="13">
        <v>307</v>
      </c>
      <c r="F29" s="13">
        <v>0</v>
      </c>
      <c r="G29" s="13">
        <v>0</v>
      </c>
      <c r="H29" s="13">
        <v>78254</v>
      </c>
      <c r="I29" s="13">
        <v>0</v>
      </c>
      <c r="J29" s="13">
        <v>0</v>
      </c>
      <c r="K29" s="13">
        <v>5547</v>
      </c>
      <c r="L29" s="13">
        <v>705</v>
      </c>
      <c r="M29" s="13">
        <v>0</v>
      </c>
      <c r="N29" s="13">
        <v>0</v>
      </c>
      <c r="O29" s="13">
        <v>0</v>
      </c>
      <c r="P29" s="13">
        <v>0</v>
      </c>
      <c r="Q29" s="13">
        <v>0</v>
      </c>
      <c r="R29" s="13"/>
      <c r="S29" s="13">
        <v>0</v>
      </c>
      <c r="T29" s="14">
        <v>160725.73005880081</v>
      </c>
      <c r="V29" s="8"/>
      <c r="W29" s="8"/>
    </row>
    <row r="30" spans="1:24" x14ac:dyDescent="0.25">
      <c r="A30" s="12" t="s">
        <v>47</v>
      </c>
      <c r="B30" s="100" t="s">
        <v>101</v>
      </c>
      <c r="C30" s="13">
        <v>777</v>
      </c>
      <c r="D30" s="13">
        <v>9011.0483275123261</v>
      </c>
      <c r="E30" s="13">
        <v>0</v>
      </c>
      <c r="F30" s="13">
        <v>0</v>
      </c>
      <c r="G30" s="13">
        <v>0</v>
      </c>
      <c r="H30" s="13">
        <v>611</v>
      </c>
      <c r="I30" s="13">
        <v>0</v>
      </c>
      <c r="J30" s="13">
        <v>0</v>
      </c>
      <c r="K30" s="13">
        <v>0</v>
      </c>
      <c r="L30" s="13">
        <v>0</v>
      </c>
      <c r="M30" s="13">
        <v>0</v>
      </c>
      <c r="N30" s="13">
        <v>0</v>
      </c>
      <c r="O30" s="13">
        <v>0</v>
      </c>
      <c r="P30" s="13">
        <v>0</v>
      </c>
      <c r="Q30" s="13">
        <v>0</v>
      </c>
      <c r="R30" s="13"/>
      <c r="S30" s="13">
        <v>0</v>
      </c>
      <c r="T30" s="14">
        <v>10399.048327512326</v>
      </c>
      <c r="V30" s="8"/>
      <c r="W30" s="8"/>
    </row>
    <row r="31" spans="1:24" x14ac:dyDescent="0.25">
      <c r="A31" s="12" t="s">
        <v>48</v>
      </c>
      <c r="B31" s="100" t="s">
        <v>102</v>
      </c>
      <c r="C31" s="13">
        <v>618</v>
      </c>
      <c r="D31" s="13">
        <v>4144.496140413059</v>
      </c>
      <c r="E31" s="13">
        <v>304</v>
      </c>
      <c r="F31" s="13">
        <v>0</v>
      </c>
      <c r="G31" s="13">
        <v>0</v>
      </c>
      <c r="H31" s="13">
        <v>4028.9999999999995</v>
      </c>
      <c r="I31" s="13">
        <v>0</v>
      </c>
      <c r="J31" s="13">
        <v>0</v>
      </c>
      <c r="K31" s="13">
        <v>429</v>
      </c>
      <c r="L31" s="13">
        <v>1583</v>
      </c>
      <c r="M31" s="13">
        <v>0</v>
      </c>
      <c r="N31" s="13">
        <v>0</v>
      </c>
      <c r="O31" s="13">
        <v>0</v>
      </c>
      <c r="P31" s="13">
        <v>0</v>
      </c>
      <c r="Q31" s="13">
        <v>0</v>
      </c>
      <c r="R31" s="13"/>
      <c r="S31" s="13">
        <v>0</v>
      </c>
      <c r="T31" s="14">
        <v>11107.496140413059</v>
      </c>
      <c r="V31" s="8"/>
      <c r="W31" s="8"/>
    </row>
    <row r="32" spans="1:24" x14ac:dyDescent="0.25">
      <c r="A32" s="15" t="s">
        <v>49</v>
      </c>
      <c r="B32" s="101" t="s">
        <v>103</v>
      </c>
      <c r="C32" s="16">
        <v>2118</v>
      </c>
      <c r="D32" s="16">
        <v>26540.679158230516</v>
      </c>
      <c r="E32" s="16">
        <v>45259</v>
      </c>
      <c r="F32" s="16">
        <v>5001</v>
      </c>
      <c r="G32" s="16">
        <v>0</v>
      </c>
      <c r="H32" s="16">
        <v>41417</v>
      </c>
      <c r="I32" s="16">
        <v>20523</v>
      </c>
      <c r="J32" s="16">
        <v>0</v>
      </c>
      <c r="K32" s="16">
        <v>11353</v>
      </c>
      <c r="L32" s="16">
        <v>1913</v>
      </c>
      <c r="M32" s="16">
        <v>0</v>
      </c>
      <c r="N32" s="16">
        <v>2267</v>
      </c>
      <c r="O32" s="16">
        <v>0</v>
      </c>
      <c r="P32" s="16">
        <v>0</v>
      </c>
      <c r="Q32" s="16">
        <v>0</v>
      </c>
      <c r="R32" s="16"/>
      <c r="S32" s="16">
        <v>0</v>
      </c>
      <c r="T32" s="17">
        <v>156391.67915823052</v>
      </c>
      <c r="V32" s="8"/>
      <c r="W32" s="8"/>
      <c r="X32" s="19"/>
    </row>
    <row r="33" spans="1:24" x14ac:dyDescent="0.25">
      <c r="A33" s="20" t="s">
        <v>50</v>
      </c>
      <c r="B33" s="102" t="s">
        <v>104</v>
      </c>
      <c r="C33" s="21">
        <v>0</v>
      </c>
      <c r="D33" s="21">
        <v>0</v>
      </c>
      <c r="E33" s="21">
        <v>0</v>
      </c>
      <c r="F33" s="21">
        <v>0</v>
      </c>
      <c r="G33" s="21">
        <v>120200</v>
      </c>
      <c r="H33" s="21">
        <v>0</v>
      </c>
      <c r="I33" s="21">
        <v>0</v>
      </c>
      <c r="J33" s="21">
        <v>0</v>
      </c>
      <c r="K33" s="21">
        <v>0</v>
      </c>
      <c r="L33" s="21">
        <v>0</v>
      </c>
      <c r="M33" s="21">
        <v>0</v>
      </c>
      <c r="N33" s="21">
        <v>0</v>
      </c>
      <c r="O33" s="21">
        <v>0</v>
      </c>
      <c r="P33" s="21">
        <v>0</v>
      </c>
      <c r="Q33" s="21">
        <v>0</v>
      </c>
      <c r="R33" s="21"/>
      <c r="S33" s="21">
        <v>0</v>
      </c>
      <c r="T33" s="22">
        <v>120200</v>
      </c>
      <c r="V33" s="8"/>
      <c r="W33" s="8"/>
    </row>
    <row r="34" spans="1:24" x14ac:dyDescent="0.25">
      <c r="A34" s="12" t="s">
        <v>51</v>
      </c>
      <c r="B34" s="100" t="s">
        <v>137</v>
      </c>
      <c r="C34" s="13">
        <v>12810</v>
      </c>
      <c r="D34" s="13">
        <v>122393.37976094462</v>
      </c>
      <c r="E34" s="13">
        <v>10225</v>
      </c>
      <c r="F34" s="13">
        <v>0</v>
      </c>
      <c r="G34" s="13">
        <v>0</v>
      </c>
      <c r="H34" s="13">
        <v>40306</v>
      </c>
      <c r="I34" s="13">
        <v>2285</v>
      </c>
      <c r="J34" s="13">
        <v>0</v>
      </c>
      <c r="K34" s="13">
        <v>67389</v>
      </c>
      <c r="L34" s="13">
        <v>11</v>
      </c>
      <c r="M34" s="13">
        <v>93609</v>
      </c>
      <c r="N34" s="13">
        <v>211</v>
      </c>
      <c r="O34" s="13">
        <v>0</v>
      </c>
      <c r="P34" s="13">
        <v>0</v>
      </c>
      <c r="Q34" s="13">
        <v>0</v>
      </c>
      <c r="R34" s="13"/>
      <c r="S34" s="13">
        <v>0</v>
      </c>
      <c r="T34" s="14">
        <v>349239.37976094463</v>
      </c>
      <c r="V34" s="8"/>
      <c r="W34" s="8"/>
    </row>
    <row r="35" spans="1:24" x14ac:dyDescent="0.25">
      <c r="A35" s="12" t="s">
        <v>52</v>
      </c>
      <c r="B35" s="100" t="s">
        <v>138</v>
      </c>
      <c r="C35" s="13">
        <v>5116</v>
      </c>
      <c r="D35" s="13">
        <v>50935.582455630501</v>
      </c>
      <c r="E35" s="13">
        <v>2420</v>
      </c>
      <c r="F35" s="13">
        <v>1</v>
      </c>
      <c r="G35" s="13">
        <v>0</v>
      </c>
      <c r="H35" s="13">
        <v>26474</v>
      </c>
      <c r="I35" s="13">
        <v>446</v>
      </c>
      <c r="J35" s="13">
        <v>0</v>
      </c>
      <c r="K35" s="13">
        <v>0</v>
      </c>
      <c r="L35" s="13">
        <v>0</v>
      </c>
      <c r="M35" s="13">
        <v>0</v>
      </c>
      <c r="N35" s="13">
        <v>0</v>
      </c>
      <c r="O35" s="13">
        <v>0</v>
      </c>
      <c r="P35" s="13">
        <v>0</v>
      </c>
      <c r="Q35" s="13">
        <v>0</v>
      </c>
      <c r="R35" s="13"/>
      <c r="S35" s="13">
        <v>0</v>
      </c>
      <c r="T35" s="14">
        <v>85392.582455630501</v>
      </c>
      <c r="V35" s="8"/>
      <c r="W35" s="8"/>
    </row>
    <row r="36" spans="1:24" x14ac:dyDescent="0.25">
      <c r="A36" s="12" t="s">
        <v>53</v>
      </c>
      <c r="B36" s="100" t="s">
        <v>139</v>
      </c>
      <c r="C36" s="13">
        <v>17521</v>
      </c>
      <c r="D36" s="13">
        <v>172869.70978151535</v>
      </c>
      <c r="E36" s="13">
        <v>13113</v>
      </c>
      <c r="F36" s="13">
        <v>8</v>
      </c>
      <c r="G36" s="13">
        <v>0</v>
      </c>
      <c r="H36" s="13">
        <v>199826</v>
      </c>
      <c r="I36" s="13">
        <v>2616</v>
      </c>
      <c r="J36" s="13">
        <v>0</v>
      </c>
      <c r="K36" s="13">
        <v>223294</v>
      </c>
      <c r="L36" s="13">
        <v>0</v>
      </c>
      <c r="M36" s="13">
        <v>0</v>
      </c>
      <c r="N36" s="13">
        <v>0</v>
      </c>
      <c r="O36" s="13">
        <v>0</v>
      </c>
      <c r="P36" s="13">
        <v>0</v>
      </c>
      <c r="Q36" s="13">
        <v>0</v>
      </c>
      <c r="R36" s="13"/>
      <c r="S36" s="13">
        <v>0</v>
      </c>
      <c r="T36" s="14">
        <v>629247.70978151541</v>
      </c>
      <c r="V36" s="8"/>
      <c r="W36" s="8"/>
    </row>
    <row r="37" spans="1:24" x14ac:dyDescent="0.25">
      <c r="A37" s="12" t="s">
        <v>54</v>
      </c>
      <c r="B37" s="100" t="s">
        <v>140</v>
      </c>
      <c r="C37" s="13">
        <v>3007</v>
      </c>
      <c r="D37" s="13">
        <v>26988.762045854</v>
      </c>
      <c r="E37" s="13">
        <v>1979</v>
      </c>
      <c r="F37" s="13">
        <v>2</v>
      </c>
      <c r="G37" s="13">
        <v>32220</v>
      </c>
      <c r="H37" s="13">
        <v>31195</v>
      </c>
      <c r="I37" s="13">
        <v>3759</v>
      </c>
      <c r="J37" s="13">
        <v>0</v>
      </c>
      <c r="K37" s="13">
        <v>22352</v>
      </c>
      <c r="L37" s="13">
        <v>8566</v>
      </c>
      <c r="M37" s="13">
        <v>0</v>
      </c>
      <c r="N37" s="13">
        <v>6</v>
      </c>
      <c r="O37" s="13">
        <v>2</v>
      </c>
      <c r="P37" s="13">
        <v>8578</v>
      </c>
      <c r="Q37" s="13">
        <v>0</v>
      </c>
      <c r="R37" s="13"/>
      <c r="S37" s="13">
        <v>0</v>
      </c>
      <c r="T37" s="14">
        <v>138654.762045854</v>
      </c>
      <c r="V37" s="8"/>
      <c r="W37" s="8"/>
    </row>
    <row r="38" spans="1:24" x14ac:dyDescent="0.25">
      <c r="A38" s="15" t="s">
        <v>55</v>
      </c>
      <c r="B38" s="101" t="s">
        <v>105</v>
      </c>
      <c r="C38" s="16">
        <v>53</v>
      </c>
      <c r="D38" s="16">
        <v>750</v>
      </c>
      <c r="E38" s="16">
        <v>0</v>
      </c>
      <c r="F38" s="16">
        <v>0</v>
      </c>
      <c r="G38" s="16">
        <v>0</v>
      </c>
      <c r="H38" s="16">
        <v>15153</v>
      </c>
      <c r="I38" s="16">
        <v>0</v>
      </c>
      <c r="J38" s="16">
        <v>0</v>
      </c>
      <c r="K38" s="16">
        <v>2135</v>
      </c>
      <c r="L38" s="16">
        <v>0</v>
      </c>
      <c r="M38" s="16">
        <v>0</v>
      </c>
      <c r="N38" s="16">
        <v>0</v>
      </c>
      <c r="O38" s="16">
        <v>0</v>
      </c>
      <c r="P38" s="16">
        <v>0</v>
      </c>
      <c r="Q38" s="16">
        <v>0</v>
      </c>
      <c r="R38" s="16"/>
      <c r="S38" s="16">
        <v>0</v>
      </c>
      <c r="T38" s="17">
        <v>18091</v>
      </c>
      <c r="V38" s="8"/>
      <c r="W38" s="8"/>
      <c r="X38" s="19"/>
    </row>
    <row r="39" spans="1:24" x14ac:dyDescent="0.25">
      <c r="A39" s="20" t="s">
        <v>56</v>
      </c>
      <c r="B39" s="102" t="s">
        <v>141</v>
      </c>
      <c r="C39" s="21">
        <v>6380</v>
      </c>
      <c r="D39" s="21">
        <v>61393.833565622423</v>
      </c>
      <c r="E39" s="21">
        <v>841</v>
      </c>
      <c r="F39" s="21">
        <v>0</v>
      </c>
      <c r="G39" s="21">
        <v>0</v>
      </c>
      <c r="H39" s="21">
        <v>2574</v>
      </c>
      <c r="I39" s="21">
        <v>33</v>
      </c>
      <c r="J39" s="21">
        <v>0</v>
      </c>
      <c r="K39" s="21">
        <v>112</v>
      </c>
      <c r="L39" s="21">
        <v>270958.00000000023</v>
      </c>
      <c r="M39" s="21">
        <v>0</v>
      </c>
      <c r="N39" s="21">
        <v>0</v>
      </c>
      <c r="O39" s="21">
        <v>72371</v>
      </c>
      <c r="P39" s="21">
        <v>0</v>
      </c>
      <c r="Q39" s="21">
        <v>0</v>
      </c>
      <c r="R39" s="21"/>
      <c r="S39" s="21">
        <v>0</v>
      </c>
      <c r="T39" s="22">
        <v>414662.83356562268</v>
      </c>
      <c r="V39" s="8"/>
      <c r="W39" s="8"/>
    </row>
    <row r="40" spans="1:24" x14ac:dyDescent="0.25">
      <c r="A40" s="12" t="s">
        <v>57</v>
      </c>
      <c r="B40" s="100" t="s">
        <v>142</v>
      </c>
      <c r="C40" s="13">
        <v>252</v>
      </c>
      <c r="D40" s="13">
        <v>2345.606169463787</v>
      </c>
      <c r="E40" s="13">
        <v>172</v>
      </c>
      <c r="F40" s="13">
        <v>0</v>
      </c>
      <c r="G40" s="13">
        <v>0</v>
      </c>
      <c r="H40" s="13">
        <v>8267</v>
      </c>
      <c r="I40" s="13">
        <v>0</v>
      </c>
      <c r="J40" s="13">
        <v>0</v>
      </c>
      <c r="K40" s="13">
        <v>1843</v>
      </c>
      <c r="L40" s="13">
        <v>1488</v>
      </c>
      <c r="M40" s="13">
        <v>0</v>
      </c>
      <c r="N40" s="13">
        <v>9</v>
      </c>
      <c r="O40" s="13">
        <v>3</v>
      </c>
      <c r="P40" s="13">
        <v>0</v>
      </c>
      <c r="Q40" s="13">
        <v>0</v>
      </c>
      <c r="R40" s="13"/>
      <c r="S40" s="13">
        <v>0</v>
      </c>
      <c r="T40" s="14">
        <v>14379.606169463787</v>
      </c>
      <c r="V40" s="8"/>
      <c r="W40" s="8"/>
    </row>
    <row r="41" spans="1:24" x14ac:dyDescent="0.25">
      <c r="A41" s="12" t="s">
        <v>58</v>
      </c>
      <c r="B41" s="100" t="s">
        <v>143</v>
      </c>
      <c r="C41" s="13">
        <v>3363</v>
      </c>
      <c r="D41" s="13">
        <v>28421.452013493061</v>
      </c>
      <c r="E41" s="13">
        <v>3285</v>
      </c>
      <c r="F41" s="13">
        <v>2</v>
      </c>
      <c r="G41" s="13">
        <v>0</v>
      </c>
      <c r="H41" s="13">
        <v>27148.000000000004</v>
      </c>
      <c r="I41" s="13">
        <v>1360</v>
      </c>
      <c r="J41" s="13">
        <v>0</v>
      </c>
      <c r="K41" s="13">
        <v>12361</v>
      </c>
      <c r="L41" s="13">
        <v>23276</v>
      </c>
      <c r="M41" s="13">
        <v>0</v>
      </c>
      <c r="N41" s="13">
        <v>0</v>
      </c>
      <c r="O41" s="13">
        <v>0</v>
      </c>
      <c r="P41" s="13">
        <v>0</v>
      </c>
      <c r="Q41" s="13">
        <v>0</v>
      </c>
      <c r="R41" s="13"/>
      <c r="S41" s="13">
        <v>0</v>
      </c>
      <c r="T41" s="14">
        <v>99216.452013493064</v>
      </c>
      <c r="V41" s="8"/>
      <c r="W41" s="8"/>
    </row>
    <row r="42" spans="1:24" x14ac:dyDescent="0.25">
      <c r="A42" s="12" t="s">
        <v>59</v>
      </c>
      <c r="B42" s="100" t="s">
        <v>144</v>
      </c>
      <c r="C42" s="13">
        <v>2779</v>
      </c>
      <c r="D42" s="13">
        <v>26430.053427310471</v>
      </c>
      <c r="E42" s="13">
        <v>1061</v>
      </c>
      <c r="F42" s="13">
        <v>0</v>
      </c>
      <c r="G42" s="13">
        <v>0</v>
      </c>
      <c r="H42" s="13">
        <v>27756</v>
      </c>
      <c r="I42" s="13">
        <v>6193</v>
      </c>
      <c r="J42" s="13">
        <v>0</v>
      </c>
      <c r="K42" s="13">
        <v>21075</v>
      </c>
      <c r="L42" s="13">
        <v>128933</v>
      </c>
      <c r="M42" s="13">
        <v>0</v>
      </c>
      <c r="N42" s="13">
        <v>0</v>
      </c>
      <c r="O42" s="13">
        <v>0</v>
      </c>
      <c r="P42" s="13">
        <v>0</v>
      </c>
      <c r="Q42" s="13">
        <v>0</v>
      </c>
      <c r="R42" s="13"/>
      <c r="S42" s="13">
        <v>0</v>
      </c>
      <c r="T42" s="14">
        <v>214227.05342731049</v>
      </c>
      <c r="V42" s="8"/>
      <c r="W42" s="8"/>
    </row>
    <row r="43" spans="1:24" x14ac:dyDescent="0.25">
      <c r="A43" s="12" t="s">
        <v>60</v>
      </c>
      <c r="B43" s="100" t="s">
        <v>145</v>
      </c>
      <c r="C43" s="13">
        <v>9932</v>
      </c>
      <c r="D43" s="13">
        <v>92714.428434615635</v>
      </c>
      <c r="E43" s="13">
        <v>4000</v>
      </c>
      <c r="F43" s="13">
        <v>188</v>
      </c>
      <c r="G43" s="13">
        <v>3906</v>
      </c>
      <c r="H43" s="13">
        <v>91157</v>
      </c>
      <c r="I43" s="13">
        <v>17434</v>
      </c>
      <c r="J43" s="13">
        <v>0</v>
      </c>
      <c r="K43" s="13">
        <v>87384</v>
      </c>
      <c r="L43" s="13">
        <v>2</v>
      </c>
      <c r="M43" s="13">
        <v>0</v>
      </c>
      <c r="N43" s="13">
        <v>85</v>
      </c>
      <c r="O43" s="13">
        <v>0</v>
      </c>
      <c r="P43" s="13">
        <v>0</v>
      </c>
      <c r="Q43" s="13">
        <v>0</v>
      </c>
      <c r="R43" s="13"/>
      <c r="S43" s="13">
        <v>0</v>
      </c>
      <c r="T43" s="14">
        <v>306802.42843461561</v>
      </c>
      <c r="V43" s="8"/>
      <c r="W43" s="8"/>
    </row>
    <row r="44" spans="1:24" x14ac:dyDescent="0.25">
      <c r="A44" s="12" t="s">
        <v>61</v>
      </c>
      <c r="B44" s="100" t="s">
        <v>146</v>
      </c>
      <c r="C44" s="13">
        <v>0</v>
      </c>
      <c r="D44" s="13">
        <v>0</v>
      </c>
      <c r="E44" s="13">
        <v>0</v>
      </c>
      <c r="F44" s="13">
        <v>0</v>
      </c>
      <c r="G44" s="13">
        <v>0</v>
      </c>
      <c r="H44" s="13">
        <v>0</v>
      </c>
      <c r="I44" s="13">
        <v>0</v>
      </c>
      <c r="J44" s="13">
        <v>0</v>
      </c>
      <c r="K44" s="13">
        <v>0</v>
      </c>
      <c r="L44" s="13">
        <v>0</v>
      </c>
      <c r="M44" s="13">
        <v>0</v>
      </c>
      <c r="N44" s="13">
        <v>0</v>
      </c>
      <c r="O44" s="13">
        <v>0</v>
      </c>
      <c r="P44" s="13">
        <v>0</v>
      </c>
      <c r="Q44" s="13">
        <v>0</v>
      </c>
      <c r="R44" s="13"/>
      <c r="S44" s="13">
        <v>0</v>
      </c>
      <c r="T44" s="14">
        <v>0</v>
      </c>
      <c r="V44" s="8"/>
      <c r="W44" s="8"/>
    </row>
    <row r="45" spans="1:24" x14ac:dyDescent="0.25">
      <c r="A45" s="15" t="s">
        <v>62</v>
      </c>
      <c r="B45" s="101" t="s">
        <v>144</v>
      </c>
      <c r="C45" s="16">
        <v>40</v>
      </c>
      <c r="D45" s="16">
        <v>423.94699124104199</v>
      </c>
      <c r="E45" s="16">
        <v>16</v>
      </c>
      <c r="F45" s="16">
        <v>0</v>
      </c>
      <c r="G45" s="16">
        <v>0</v>
      </c>
      <c r="H45" s="16">
        <v>79</v>
      </c>
      <c r="I45" s="16">
        <v>0</v>
      </c>
      <c r="J45" s="16">
        <v>0</v>
      </c>
      <c r="K45" s="16">
        <v>12</v>
      </c>
      <c r="L45" s="16">
        <v>0</v>
      </c>
      <c r="M45" s="16">
        <v>0</v>
      </c>
      <c r="N45" s="16">
        <v>0</v>
      </c>
      <c r="O45" s="16">
        <v>0</v>
      </c>
      <c r="P45" s="16">
        <v>0</v>
      </c>
      <c r="Q45" s="16">
        <v>0</v>
      </c>
      <c r="R45" s="16"/>
      <c r="S45" s="16">
        <v>0</v>
      </c>
      <c r="T45" s="17">
        <v>570.94699124104204</v>
      </c>
      <c r="V45" s="8"/>
      <c r="W45" s="8"/>
      <c r="X45" s="19"/>
    </row>
    <row r="46" spans="1:24" x14ac:dyDescent="0.25">
      <c r="A46" s="20" t="s">
        <v>63</v>
      </c>
      <c r="B46" s="102" t="s">
        <v>147</v>
      </c>
      <c r="C46" s="21">
        <v>1220</v>
      </c>
      <c r="D46" s="21">
        <v>11567.199858346106</v>
      </c>
      <c r="E46" s="21">
        <v>447</v>
      </c>
      <c r="F46" s="21">
        <v>0</v>
      </c>
      <c r="G46" s="21">
        <v>0</v>
      </c>
      <c r="H46" s="21">
        <v>7260</v>
      </c>
      <c r="I46" s="21">
        <v>2094</v>
      </c>
      <c r="J46" s="21">
        <v>0</v>
      </c>
      <c r="K46" s="21">
        <v>1187</v>
      </c>
      <c r="L46" s="21">
        <v>0</v>
      </c>
      <c r="M46" s="21">
        <v>0</v>
      </c>
      <c r="N46" s="21">
        <v>0</v>
      </c>
      <c r="O46" s="21">
        <v>0</v>
      </c>
      <c r="P46" s="21">
        <v>0</v>
      </c>
      <c r="Q46" s="21">
        <v>0</v>
      </c>
      <c r="R46" s="21"/>
      <c r="S46" s="21">
        <v>0</v>
      </c>
      <c r="T46" s="22">
        <v>23775.199858346106</v>
      </c>
      <c r="V46" s="8"/>
      <c r="W46" s="8"/>
    </row>
    <row r="47" spans="1:24" x14ac:dyDescent="0.25">
      <c r="A47" s="12" t="s">
        <v>64</v>
      </c>
      <c r="B47" s="100" t="s">
        <v>148</v>
      </c>
      <c r="C47" s="13">
        <v>1168</v>
      </c>
      <c r="D47" s="13">
        <v>8596.7114785160102</v>
      </c>
      <c r="E47" s="13">
        <v>928</v>
      </c>
      <c r="F47" s="13">
        <v>14</v>
      </c>
      <c r="G47" s="13">
        <v>0</v>
      </c>
      <c r="H47" s="13">
        <v>23017</v>
      </c>
      <c r="I47" s="13">
        <v>28693</v>
      </c>
      <c r="J47" s="13">
        <v>0</v>
      </c>
      <c r="K47" s="13">
        <v>17652</v>
      </c>
      <c r="L47" s="13">
        <v>5353</v>
      </c>
      <c r="M47" s="13">
        <v>0</v>
      </c>
      <c r="N47" s="13">
        <v>11181</v>
      </c>
      <c r="O47" s="13">
        <v>0</v>
      </c>
      <c r="P47" s="13">
        <v>0</v>
      </c>
      <c r="Q47" s="13">
        <v>0</v>
      </c>
      <c r="R47" s="13"/>
      <c r="S47" s="13">
        <v>0</v>
      </c>
      <c r="T47" s="14">
        <v>96602.711478516008</v>
      </c>
      <c r="V47" s="8"/>
      <c r="W47" s="8"/>
    </row>
    <row r="48" spans="1:24" x14ac:dyDescent="0.25">
      <c r="A48" s="12" t="s">
        <v>65</v>
      </c>
      <c r="B48" s="100" t="s">
        <v>106</v>
      </c>
      <c r="C48" s="13">
        <v>5206</v>
      </c>
      <c r="D48" s="13">
        <v>49102.365782336776</v>
      </c>
      <c r="E48" s="13">
        <v>1856</v>
      </c>
      <c r="F48" s="13">
        <v>22</v>
      </c>
      <c r="G48" s="13">
        <v>0</v>
      </c>
      <c r="H48" s="13">
        <v>63466.999999999993</v>
      </c>
      <c r="I48" s="13">
        <v>16250</v>
      </c>
      <c r="J48" s="13">
        <v>0</v>
      </c>
      <c r="K48" s="13">
        <v>6066</v>
      </c>
      <c r="L48" s="13">
        <v>31593</v>
      </c>
      <c r="M48" s="13">
        <v>0</v>
      </c>
      <c r="N48" s="13">
        <v>17044</v>
      </c>
      <c r="O48" s="13">
        <v>0</v>
      </c>
      <c r="P48" s="13">
        <v>10533</v>
      </c>
      <c r="Q48" s="13">
        <v>0</v>
      </c>
      <c r="R48" s="13"/>
      <c r="S48" s="13">
        <v>0</v>
      </c>
      <c r="T48" s="14">
        <v>201139.36578233677</v>
      </c>
      <c r="V48" s="8"/>
      <c r="W48" s="8"/>
    </row>
    <row r="49" spans="1:25" x14ac:dyDescent="0.25">
      <c r="A49" s="12" t="s">
        <v>66</v>
      </c>
      <c r="B49" s="100" t="s">
        <v>107</v>
      </c>
      <c r="C49" s="13">
        <v>138</v>
      </c>
      <c r="D49" s="13">
        <v>1507</v>
      </c>
      <c r="E49" s="13">
        <v>43</v>
      </c>
      <c r="F49" s="13">
        <v>0</v>
      </c>
      <c r="G49" s="13">
        <v>0</v>
      </c>
      <c r="H49" s="13">
        <v>1175</v>
      </c>
      <c r="I49" s="13">
        <v>313</v>
      </c>
      <c r="J49" s="13">
        <v>0</v>
      </c>
      <c r="K49" s="13">
        <v>433</v>
      </c>
      <c r="L49" s="13">
        <v>0</v>
      </c>
      <c r="M49" s="13">
        <v>0</v>
      </c>
      <c r="N49" s="13">
        <v>0</v>
      </c>
      <c r="O49" s="13">
        <v>2863</v>
      </c>
      <c r="P49" s="13">
        <v>0</v>
      </c>
      <c r="Q49" s="13">
        <v>0</v>
      </c>
      <c r="R49" s="13"/>
      <c r="S49" s="13">
        <v>0</v>
      </c>
      <c r="T49" s="14">
        <v>6472</v>
      </c>
      <c r="V49" s="8"/>
      <c r="W49" s="8"/>
    </row>
    <row r="50" spans="1:25" x14ac:dyDescent="0.25">
      <c r="A50" s="15" t="s">
        <v>67</v>
      </c>
      <c r="B50" s="101" t="s">
        <v>108</v>
      </c>
      <c r="C50" s="16">
        <v>434</v>
      </c>
      <c r="D50" s="16">
        <v>4703.775496370672</v>
      </c>
      <c r="E50" s="16">
        <v>187</v>
      </c>
      <c r="F50" s="16">
        <v>1</v>
      </c>
      <c r="G50" s="16">
        <v>0</v>
      </c>
      <c r="H50" s="16">
        <v>-1771</v>
      </c>
      <c r="I50" s="16">
        <v>49</v>
      </c>
      <c r="J50" s="16">
        <v>0</v>
      </c>
      <c r="K50" s="16">
        <v>1174</v>
      </c>
      <c r="L50" s="16">
        <v>0</v>
      </c>
      <c r="M50" s="16">
        <v>0</v>
      </c>
      <c r="N50" s="16">
        <v>0</v>
      </c>
      <c r="O50" s="16">
        <v>0</v>
      </c>
      <c r="P50" s="16">
        <v>0</v>
      </c>
      <c r="Q50" s="16">
        <v>0</v>
      </c>
      <c r="R50" s="16"/>
      <c r="S50" s="16">
        <v>0</v>
      </c>
      <c r="T50" s="17">
        <v>4777.775496370672</v>
      </c>
      <c r="V50" s="8"/>
      <c r="W50" s="8"/>
      <c r="X50" s="19"/>
    </row>
    <row r="51" spans="1:25" x14ac:dyDescent="0.25">
      <c r="A51" s="20" t="s">
        <v>68</v>
      </c>
      <c r="B51" s="102" t="s">
        <v>149</v>
      </c>
      <c r="C51" s="21">
        <v>630</v>
      </c>
      <c r="D51" s="21">
        <v>5739.2193179698161</v>
      </c>
      <c r="E51" s="21">
        <v>231</v>
      </c>
      <c r="F51" s="21">
        <v>0</v>
      </c>
      <c r="G51" s="21">
        <v>0</v>
      </c>
      <c r="H51" s="21">
        <v>3333</v>
      </c>
      <c r="I51" s="21">
        <v>574</v>
      </c>
      <c r="J51" s="21">
        <v>0</v>
      </c>
      <c r="K51" s="21">
        <v>473</v>
      </c>
      <c r="L51" s="21">
        <v>0</v>
      </c>
      <c r="M51" s="21">
        <v>0</v>
      </c>
      <c r="N51" s="21">
        <v>0</v>
      </c>
      <c r="O51" s="21">
        <v>0</v>
      </c>
      <c r="P51" s="21">
        <v>0</v>
      </c>
      <c r="Q51" s="21">
        <v>0</v>
      </c>
      <c r="R51" s="21"/>
      <c r="S51" s="21">
        <v>0</v>
      </c>
      <c r="T51" s="22">
        <v>10980.219317969815</v>
      </c>
      <c r="V51" s="8"/>
      <c r="W51" s="8"/>
    </row>
    <row r="52" spans="1:25" x14ac:dyDescent="0.25">
      <c r="A52" s="23" t="s">
        <v>69</v>
      </c>
      <c r="B52" s="100" t="s">
        <v>150</v>
      </c>
      <c r="C52" s="21">
        <v>34</v>
      </c>
      <c r="D52" s="21">
        <v>322.77316064923463</v>
      </c>
      <c r="E52" s="21">
        <v>131</v>
      </c>
      <c r="F52" s="21">
        <v>0</v>
      </c>
      <c r="G52" s="21">
        <v>0</v>
      </c>
      <c r="H52" s="21">
        <v>-1721</v>
      </c>
      <c r="I52" s="21">
        <v>0</v>
      </c>
      <c r="J52" s="21">
        <v>0</v>
      </c>
      <c r="K52" s="21">
        <v>0</v>
      </c>
      <c r="L52" s="21">
        <v>0</v>
      </c>
      <c r="M52" s="21">
        <v>0</v>
      </c>
      <c r="N52" s="21">
        <v>0</v>
      </c>
      <c r="O52" s="21">
        <v>0</v>
      </c>
      <c r="P52" s="21">
        <v>0</v>
      </c>
      <c r="Q52" s="21">
        <v>0</v>
      </c>
      <c r="R52" s="21"/>
      <c r="S52" s="21">
        <v>0</v>
      </c>
      <c r="T52" s="14">
        <v>-1233.2268393507654</v>
      </c>
      <c r="V52" s="8"/>
      <c r="W52" s="8"/>
    </row>
    <row r="53" spans="1:25" x14ac:dyDescent="0.25">
      <c r="A53" s="12" t="s">
        <v>70</v>
      </c>
      <c r="B53" s="100" t="s">
        <v>151</v>
      </c>
      <c r="C53" s="13">
        <v>68</v>
      </c>
      <c r="D53" s="13">
        <v>411.39969364610232</v>
      </c>
      <c r="E53" s="13">
        <v>146</v>
      </c>
      <c r="F53" s="13">
        <v>0</v>
      </c>
      <c r="G53" s="13">
        <v>0</v>
      </c>
      <c r="H53" s="13">
        <v>-478</v>
      </c>
      <c r="I53" s="13">
        <v>0</v>
      </c>
      <c r="J53" s="13">
        <v>0</v>
      </c>
      <c r="K53" s="13">
        <v>2332</v>
      </c>
      <c r="L53" s="13">
        <v>0</v>
      </c>
      <c r="M53" s="13">
        <v>0</v>
      </c>
      <c r="N53" s="13">
        <v>500</v>
      </c>
      <c r="O53" s="13">
        <v>0</v>
      </c>
      <c r="P53" s="13">
        <v>0</v>
      </c>
      <c r="Q53" s="13">
        <v>0</v>
      </c>
      <c r="R53" s="13"/>
      <c r="S53" s="13">
        <v>0</v>
      </c>
      <c r="T53" s="14">
        <v>2979.3996936461026</v>
      </c>
      <c r="V53" s="8"/>
      <c r="W53" s="8"/>
    </row>
    <row r="54" spans="1:25" x14ac:dyDescent="0.25">
      <c r="A54" s="24" t="s">
        <v>71</v>
      </c>
      <c r="B54" s="100" t="s">
        <v>152</v>
      </c>
      <c r="C54" s="25">
        <v>21</v>
      </c>
      <c r="D54" s="25">
        <v>227.99207603860845</v>
      </c>
      <c r="E54" s="25">
        <v>6</v>
      </c>
      <c r="F54" s="25">
        <v>0</v>
      </c>
      <c r="G54" s="25">
        <v>0</v>
      </c>
      <c r="H54" s="25">
        <v>214</v>
      </c>
      <c r="I54" s="25">
        <v>0</v>
      </c>
      <c r="J54" s="25">
        <v>0</v>
      </c>
      <c r="K54" s="25">
        <v>118</v>
      </c>
      <c r="L54" s="25">
        <v>0</v>
      </c>
      <c r="M54" s="25">
        <v>0</v>
      </c>
      <c r="N54" s="25">
        <v>0</v>
      </c>
      <c r="O54" s="25">
        <v>0</v>
      </c>
      <c r="P54" s="25">
        <v>0</v>
      </c>
      <c r="Q54" s="25">
        <v>0</v>
      </c>
      <c r="R54" s="25"/>
      <c r="S54" s="25">
        <v>0</v>
      </c>
      <c r="T54" s="14">
        <v>586.9920760386085</v>
      </c>
      <c r="V54" s="8"/>
      <c r="W54" s="8"/>
    </row>
    <row r="55" spans="1:25" x14ac:dyDescent="0.25">
      <c r="A55" s="15" t="s">
        <v>72</v>
      </c>
      <c r="B55" s="101" t="s">
        <v>109</v>
      </c>
      <c r="C55" s="16">
        <v>856</v>
      </c>
      <c r="D55" s="16">
        <v>8178.6429896998325</v>
      </c>
      <c r="E55" s="16">
        <v>661</v>
      </c>
      <c r="F55" s="16">
        <v>0</v>
      </c>
      <c r="G55" s="16">
        <v>0</v>
      </c>
      <c r="H55" s="16">
        <v>2752</v>
      </c>
      <c r="I55" s="16">
        <v>105</v>
      </c>
      <c r="J55" s="16">
        <v>0</v>
      </c>
      <c r="K55" s="16">
        <v>968</v>
      </c>
      <c r="L55" s="16">
        <v>20</v>
      </c>
      <c r="M55" s="16">
        <v>0</v>
      </c>
      <c r="N55" s="16">
        <v>0</v>
      </c>
      <c r="O55" s="16">
        <v>0</v>
      </c>
      <c r="P55" s="16">
        <v>0</v>
      </c>
      <c r="Q55" s="16">
        <v>0</v>
      </c>
      <c r="R55" s="16"/>
      <c r="S55" s="16">
        <v>0</v>
      </c>
      <c r="T55" s="17">
        <v>13540.642989699832</v>
      </c>
      <c r="V55" s="8"/>
      <c r="W55" s="8"/>
      <c r="X55" s="19"/>
    </row>
    <row r="56" spans="1:25" x14ac:dyDescent="0.25">
      <c r="A56" s="20" t="s">
        <v>73</v>
      </c>
      <c r="B56" s="102" t="s">
        <v>110</v>
      </c>
      <c r="C56" s="21">
        <v>6402</v>
      </c>
      <c r="D56" s="21">
        <v>58508.679869826861</v>
      </c>
      <c r="E56" s="21">
        <v>3323</v>
      </c>
      <c r="F56" s="21">
        <v>0</v>
      </c>
      <c r="G56" s="21">
        <v>0</v>
      </c>
      <c r="H56" s="21">
        <v>39598</v>
      </c>
      <c r="I56" s="21">
        <v>5220</v>
      </c>
      <c r="J56" s="21">
        <v>0</v>
      </c>
      <c r="K56" s="21">
        <v>17241</v>
      </c>
      <c r="L56" s="21">
        <v>1698</v>
      </c>
      <c r="M56" s="21">
        <v>0</v>
      </c>
      <c r="N56" s="21">
        <v>0</v>
      </c>
      <c r="O56" s="21">
        <v>4</v>
      </c>
      <c r="P56" s="21">
        <v>0</v>
      </c>
      <c r="Q56" s="21">
        <v>0</v>
      </c>
      <c r="R56" s="21"/>
      <c r="S56" s="21">
        <v>0</v>
      </c>
      <c r="T56" s="22">
        <v>131994.67986982685</v>
      </c>
      <c r="V56" s="8"/>
      <c r="W56" s="8"/>
    </row>
    <row r="57" spans="1:25" x14ac:dyDescent="0.25">
      <c r="A57" s="15" t="s">
        <v>74</v>
      </c>
      <c r="B57" s="101" t="s">
        <v>111</v>
      </c>
      <c r="C57" s="16">
        <v>975</v>
      </c>
      <c r="D57" s="16">
        <v>9113.9098544945482</v>
      </c>
      <c r="E57" s="16">
        <v>439</v>
      </c>
      <c r="F57" s="16">
        <v>0</v>
      </c>
      <c r="G57" s="16">
        <v>0</v>
      </c>
      <c r="H57" s="16">
        <v>7714</v>
      </c>
      <c r="I57" s="16">
        <v>633</v>
      </c>
      <c r="J57" s="16">
        <v>0</v>
      </c>
      <c r="K57" s="16">
        <v>4366</v>
      </c>
      <c r="L57" s="16">
        <v>7751</v>
      </c>
      <c r="M57" s="16">
        <v>0</v>
      </c>
      <c r="N57" s="16">
        <v>380</v>
      </c>
      <c r="O57" s="16">
        <v>0</v>
      </c>
      <c r="P57" s="16">
        <v>0</v>
      </c>
      <c r="Q57" s="16">
        <v>0</v>
      </c>
      <c r="R57" s="16"/>
      <c r="S57" s="16">
        <v>0</v>
      </c>
      <c r="T57" s="17">
        <v>31371.909854494548</v>
      </c>
      <c r="V57" s="8"/>
      <c r="W57" s="8"/>
      <c r="X57" s="19"/>
    </row>
    <row r="58" spans="1:25" x14ac:dyDescent="0.25">
      <c r="A58" s="20" t="s">
        <v>75</v>
      </c>
      <c r="B58" s="102" t="s">
        <v>112</v>
      </c>
      <c r="C58" s="21">
        <v>1806</v>
      </c>
      <c r="D58" s="21">
        <v>16651.389128364248</v>
      </c>
      <c r="E58" s="21">
        <v>1474</v>
      </c>
      <c r="F58" s="21">
        <v>0</v>
      </c>
      <c r="G58" s="21">
        <v>0</v>
      </c>
      <c r="H58" s="21">
        <v>12733</v>
      </c>
      <c r="I58" s="21">
        <v>1989</v>
      </c>
      <c r="J58" s="21">
        <v>0</v>
      </c>
      <c r="K58" s="21">
        <v>2050</v>
      </c>
      <c r="L58" s="21">
        <v>8131</v>
      </c>
      <c r="M58" s="21">
        <v>0</v>
      </c>
      <c r="N58" s="21">
        <v>48</v>
      </c>
      <c r="O58" s="21">
        <v>15</v>
      </c>
      <c r="P58" s="21">
        <v>136</v>
      </c>
      <c r="Q58" s="21">
        <v>0</v>
      </c>
      <c r="R58" s="21"/>
      <c r="S58" s="21">
        <v>0</v>
      </c>
      <c r="T58" s="22">
        <v>45033.389128364244</v>
      </c>
      <c r="V58" s="8"/>
      <c r="W58" s="8"/>
    </row>
    <row r="59" spans="1:25" x14ac:dyDescent="0.25">
      <c r="A59" s="15" t="s">
        <v>76</v>
      </c>
      <c r="B59" s="101" t="s">
        <v>113</v>
      </c>
      <c r="C59" s="16">
        <v>3744</v>
      </c>
      <c r="D59" s="16">
        <v>33571.90898960951</v>
      </c>
      <c r="E59" s="16">
        <v>4169</v>
      </c>
      <c r="F59" s="16">
        <v>861</v>
      </c>
      <c r="G59" s="16">
        <v>0</v>
      </c>
      <c r="H59" s="16">
        <v>-29234</v>
      </c>
      <c r="I59" s="16">
        <v>8235</v>
      </c>
      <c r="J59" s="16">
        <v>0</v>
      </c>
      <c r="K59" s="16">
        <v>0</v>
      </c>
      <c r="L59" s="16">
        <v>0</v>
      </c>
      <c r="M59" s="16">
        <v>0</v>
      </c>
      <c r="N59" s="16">
        <v>0</v>
      </c>
      <c r="O59" s="16">
        <v>0</v>
      </c>
      <c r="P59" s="16">
        <v>0</v>
      </c>
      <c r="Q59" s="16">
        <v>0</v>
      </c>
      <c r="R59" s="16"/>
      <c r="S59" s="16">
        <v>0</v>
      </c>
      <c r="T59" s="17">
        <v>21346.90898960951</v>
      </c>
      <c r="V59" s="8"/>
      <c r="W59" s="8"/>
      <c r="X59" s="19"/>
    </row>
    <row r="60" spans="1:25" x14ac:dyDescent="0.25">
      <c r="A60" s="20" t="s">
        <v>77</v>
      </c>
      <c r="B60" s="102" t="s">
        <v>153</v>
      </c>
      <c r="C60" s="21">
        <v>4041</v>
      </c>
      <c r="D60" s="21">
        <v>34995.826540474147</v>
      </c>
      <c r="E60" s="21">
        <v>5207</v>
      </c>
      <c r="F60" s="21">
        <v>104</v>
      </c>
      <c r="G60" s="21">
        <v>0</v>
      </c>
      <c r="H60" s="21">
        <v>46504.3</v>
      </c>
      <c r="I60" s="21">
        <v>208328</v>
      </c>
      <c r="J60" s="21">
        <v>0</v>
      </c>
      <c r="K60" s="21">
        <v>24268</v>
      </c>
      <c r="L60" s="21">
        <v>0</v>
      </c>
      <c r="M60" s="21">
        <v>0</v>
      </c>
      <c r="N60" s="21">
        <v>0</v>
      </c>
      <c r="O60" s="21">
        <v>0</v>
      </c>
      <c r="P60" s="21">
        <v>0</v>
      </c>
      <c r="Q60" s="21">
        <v>0</v>
      </c>
      <c r="R60" s="21"/>
      <c r="S60" s="21">
        <v>0</v>
      </c>
      <c r="T60" s="22">
        <v>323448.12654047413</v>
      </c>
      <c r="V60" s="8"/>
      <c r="W60" s="8"/>
    </row>
    <row r="61" spans="1:25" x14ac:dyDescent="0.25">
      <c r="A61" s="12" t="s">
        <v>78</v>
      </c>
      <c r="B61" s="100" t="s">
        <v>154</v>
      </c>
      <c r="C61" s="13">
        <v>3748</v>
      </c>
      <c r="D61" s="13">
        <v>33630.451264234187</v>
      </c>
      <c r="E61" s="13">
        <v>4206</v>
      </c>
      <c r="F61" s="13">
        <v>48</v>
      </c>
      <c r="G61" s="13">
        <v>0</v>
      </c>
      <c r="H61" s="13">
        <v>50490.299999999996</v>
      </c>
      <c r="I61" s="13">
        <v>7065</v>
      </c>
      <c r="J61" s="13">
        <v>0</v>
      </c>
      <c r="K61" s="13">
        <v>3438</v>
      </c>
      <c r="L61" s="13">
        <v>0</v>
      </c>
      <c r="M61" s="13">
        <v>0</v>
      </c>
      <c r="N61" s="13">
        <v>0</v>
      </c>
      <c r="O61" s="13">
        <v>0</v>
      </c>
      <c r="P61" s="13">
        <v>1395</v>
      </c>
      <c r="Q61" s="13">
        <v>0</v>
      </c>
      <c r="R61" s="13"/>
      <c r="S61" s="13">
        <v>0</v>
      </c>
      <c r="T61" s="14">
        <v>104020.75126423419</v>
      </c>
      <c r="V61" s="8"/>
      <c r="W61" s="8"/>
    </row>
    <row r="62" spans="1:25" x14ac:dyDescent="0.25">
      <c r="A62" s="12" t="s">
        <v>79</v>
      </c>
      <c r="B62" s="100" t="s">
        <v>155</v>
      </c>
      <c r="C62" s="13">
        <v>494</v>
      </c>
      <c r="D62" s="13">
        <v>4435.2078358678737</v>
      </c>
      <c r="E62" s="13">
        <v>516</v>
      </c>
      <c r="F62" s="13">
        <v>13</v>
      </c>
      <c r="G62" s="13">
        <v>0</v>
      </c>
      <c r="H62" s="13">
        <v>-3906</v>
      </c>
      <c r="I62" s="13">
        <v>6930</v>
      </c>
      <c r="J62" s="13">
        <v>0</v>
      </c>
      <c r="K62" s="13">
        <v>0</v>
      </c>
      <c r="L62" s="13">
        <v>30</v>
      </c>
      <c r="M62" s="13">
        <v>0</v>
      </c>
      <c r="N62" s="13">
        <v>0</v>
      </c>
      <c r="O62" s="13">
        <v>2049</v>
      </c>
      <c r="P62" s="13">
        <v>1178</v>
      </c>
      <c r="Q62" s="13">
        <v>0</v>
      </c>
      <c r="R62" s="13"/>
      <c r="S62" s="13">
        <v>0</v>
      </c>
      <c r="T62" s="14">
        <v>11739.207835867874</v>
      </c>
      <c r="V62" s="8"/>
      <c r="W62" s="8"/>
    </row>
    <row r="63" spans="1:25" x14ac:dyDescent="0.25">
      <c r="A63" s="12" t="s">
        <v>80</v>
      </c>
      <c r="B63" s="100" t="s">
        <v>156</v>
      </c>
      <c r="C63" s="13">
        <v>682</v>
      </c>
      <c r="D63" s="13">
        <v>6133.4579600972793</v>
      </c>
      <c r="E63" s="13">
        <v>992</v>
      </c>
      <c r="F63" s="13">
        <v>1</v>
      </c>
      <c r="G63" s="13">
        <v>370</v>
      </c>
      <c r="H63" s="13">
        <v>23855.599999999999</v>
      </c>
      <c r="I63" s="13">
        <v>8691</v>
      </c>
      <c r="J63" s="13">
        <v>0</v>
      </c>
      <c r="K63" s="13">
        <v>0</v>
      </c>
      <c r="L63" s="13">
        <v>871</v>
      </c>
      <c r="M63" s="13">
        <v>0</v>
      </c>
      <c r="N63" s="13">
        <v>0</v>
      </c>
      <c r="O63" s="13">
        <v>0</v>
      </c>
      <c r="P63" s="13">
        <v>0</v>
      </c>
      <c r="Q63" s="13">
        <v>0</v>
      </c>
      <c r="R63" s="13"/>
      <c r="S63" s="13">
        <v>0</v>
      </c>
      <c r="T63" s="14">
        <v>41596.057960097278</v>
      </c>
      <c r="V63" s="8"/>
      <c r="W63" s="8"/>
    </row>
    <row r="64" spans="1:25" x14ac:dyDescent="0.25">
      <c r="A64" s="12" t="s">
        <v>81</v>
      </c>
      <c r="B64" s="100" t="s">
        <v>157</v>
      </c>
      <c r="C64" s="13">
        <v>7336</v>
      </c>
      <c r="D64" s="13">
        <v>65955.174388261134</v>
      </c>
      <c r="E64" s="13">
        <v>10684</v>
      </c>
      <c r="F64" s="13">
        <v>4</v>
      </c>
      <c r="G64" s="13">
        <v>3985</v>
      </c>
      <c r="H64" s="13">
        <v>256790.40000000002</v>
      </c>
      <c r="I64" s="13">
        <v>93560.2</v>
      </c>
      <c r="J64" s="13">
        <v>0</v>
      </c>
      <c r="K64" s="13">
        <v>0</v>
      </c>
      <c r="L64" s="13">
        <v>9381</v>
      </c>
      <c r="M64" s="13">
        <v>0</v>
      </c>
      <c r="N64" s="13">
        <v>0</v>
      </c>
      <c r="O64" s="13">
        <v>0</v>
      </c>
      <c r="P64" s="13">
        <v>0</v>
      </c>
      <c r="Q64" s="13">
        <v>0</v>
      </c>
      <c r="R64" s="13"/>
      <c r="S64" s="13">
        <v>0</v>
      </c>
      <c r="T64" s="14">
        <v>447695.7743882612</v>
      </c>
      <c r="V64" s="8"/>
      <c r="W64" s="8"/>
      <c r="Y64" s="2" t="s">
        <v>1</v>
      </c>
    </row>
    <row r="65" spans="1:38" x14ac:dyDescent="0.25">
      <c r="A65" s="12" t="s">
        <v>82</v>
      </c>
      <c r="B65" s="100" t="s">
        <v>158</v>
      </c>
      <c r="C65" s="13">
        <v>0</v>
      </c>
      <c r="D65" s="13">
        <v>0</v>
      </c>
      <c r="E65" s="13">
        <v>0</v>
      </c>
      <c r="F65" s="13">
        <v>3</v>
      </c>
      <c r="G65" s="13">
        <v>0</v>
      </c>
      <c r="H65" s="13">
        <v>22248</v>
      </c>
      <c r="I65" s="13">
        <v>10783</v>
      </c>
      <c r="J65" s="13">
        <v>0</v>
      </c>
      <c r="K65" s="13">
        <v>0</v>
      </c>
      <c r="L65" s="13">
        <v>0</v>
      </c>
      <c r="M65" s="13">
        <v>0</v>
      </c>
      <c r="N65" s="13">
        <v>0</v>
      </c>
      <c r="O65" s="13">
        <v>0</v>
      </c>
      <c r="P65" s="13">
        <v>0</v>
      </c>
      <c r="Q65" s="13">
        <v>0</v>
      </c>
      <c r="R65" s="13"/>
      <c r="S65" s="13">
        <v>0</v>
      </c>
      <c r="T65" s="14">
        <v>33034</v>
      </c>
      <c r="V65" s="8"/>
      <c r="W65" s="8"/>
    </row>
    <row r="66" spans="1:38" x14ac:dyDescent="0.25">
      <c r="A66" s="15" t="s">
        <v>83</v>
      </c>
      <c r="B66" s="101" t="s">
        <v>114</v>
      </c>
      <c r="C66" s="16">
        <v>721</v>
      </c>
      <c r="D66" s="16">
        <v>4152</v>
      </c>
      <c r="E66" s="16">
        <v>496</v>
      </c>
      <c r="F66" s="16">
        <v>0</v>
      </c>
      <c r="G66" s="16">
        <v>0</v>
      </c>
      <c r="H66" s="16">
        <v>-201</v>
      </c>
      <c r="I66" s="16">
        <v>9506</v>
      </c>
      <c r="J66" s="16">
        <v>0</v>
      </c>
      <c r="K66" s="16">
        <v>75</v>
      </c>
      <c r="L66" s="16">
        <v>0</v>
      </c>
      <c r="M66" s="16">
        <v>0</v>
      </c>
      <c r="N66" s="16">
        <v>0</v>
      </c>
      <c r="O66" s="16">
        <v>0</v>
      </c>
      <c r="P66" s="16">
        <v>0</v>
      </c>
      <c r="Q66" s="16">
        <v>0</v>
      </c>
      <c r="R66" s="16"/>
      <c r="S66" s="16">
        <v>0</v>
      </c>
      <c r="T66" s="17">
        <v>14749</v>
      </c>
      <c r="V66" s="8"/>
      <c r="W66" s="8"/>
      <c r="X66" s="19"/>
    </row>
    <row r="67" spans="1:38" x14ac:dyDescent="0.25">
      <c r="A67" s="20" t="s">
        <v>84</v>
      </c>
      <c r="B67" s="102" t="s">
        <v>115</v>
      </c>
      <c r="C67" s="21">
        <v>809</v>
      </c>
      <c r="D67" s="21">
        <v>8496</v>
      </c>
      <c r="E67" s="21">
        <v>208</v>
      </c>
      <c r="F67" s="21">
        <v>0</v>
      </c>
      <c r="G67" s="21">
        <v>0</v>
      </c>
      <c r="H67" s="21">
        <v>40289</v>
      </c>
      <c r="I67" s="21">
        <v>497</v>
      </c>
      <c r="J67" s="21">
        <v>0</v>
      </c>
      <c r="K67" s="21">
        <v>10907</v>
      </c>
      <c r="L67" s="21">
        <v>0</v>
      </c>
      <c r="M67" s="21">
        <v>0</v>
      </c>
      <c r="N67" s="21">
        <v>4679</v>
      </c>
      <c r="O67" s="21">
        <v>0</v>
      </c>
      <c r="P67" s="21">
        <v>0</v>
      </c>
      <c r="Q67" s="21">
        <v>0</v>
      </c>
      <c r="R67" s="21"/>
      <c r="S67" s="21">
        <v>0</v>
      </c>
      <c r="T67" s="22">
        <v>65885</v>
      </c>
      <c r="V67" s="8"/>
      <c r="W67" s="8"/>
    </row>
    <row r="68" spans="1:38" x14ac:dyDescent="0.25">
      <c r="A68" s="12" t="s">
        <v>85</v>
      </c>
      <c r="B68" s="100" t="s">
        <v>159</v>
      </c>
      <c r="C68" s="13">
        <v>4198</v>
      </c>
      <c r="D68" s="13">
        <v>33430.345353202138</v>
      </c>
      <c r="E68" s="13">
        <v>2033</v>
      </c>
      <c r="F68" s="13">
        <v>0</v>
      </c>
      <c r="G68" s="13">
        <v>0</v>
      </c>
      <c r="H68" s="13">
        <v>18808</v>
      </c>
      <c r="I68" s="13">
        <v>1197</v>
      </c>
      <c r="J68" s="13">
        <v>0</v>
      </c>
      <c r="K68" s="13">
        <v>3854</v>
      </c>
      <c r="L68" s="13">
        <v>0</v>
      </c>
      <c r="M68" s="13">
        <v>0</v>
      </c>
      <c r="N68" s="13">
        <v>0</v>
      </c>
      <c r="O68" s="13">
        <v>0</v>
      </c>
      <c r="P68" s="13">
        <v>0</v>
      </c>
      <c r="Q68" s="13">
        <v>0</v>
      </c>
      <c r="R68" s="13"/>
      <c r="S68" s="13">
        <v>0</v>
      </c>
      <c r="T68" s="14">
        <v>63520.345353202138</v>
      </c>
      <c r="V68" s="8"/>
      <c r="W68" s="8"/>
    </row>
    <row r="69" spans="1:38" x14ac:dyDescent="0.25">
      <c r="A69" s="15" t="s">
        <v>86</v>
      </c>
      <c r="B69" s="101" t="s">
        <v>160</v>
      </c>
      <c r="C69" s="16">
        <v>3985</v>
      </c>
      <c r="D69" s="16">
        <v>38011.507205891612</v>
      </c>
      <c r="E69" s="16">
        <v>2669</v>
      </c>
      <c r="F69" s="16">
        <v>15552</v>
      </c>
      <c r="G69" s="16">
        <v>0</v>
      </c>
      <c r="H69" s="16">
        <v>8918.9999999999982</v>
      </c>
      <c r="I69" s="16">
        <v>9687</v>
      </c>
      <c r="J69" s="16">
        <v>0</v>
      </c>
      <c r="K69" s="16">
        <v>13464</v>
      </c>
      <c r="L69" s="16">
        <v>21831</v>
      </c>
      <c r="M69" s="16">
        <v>0</v>
      </c>
      <c r="N69" s="16">
        <v>47</v>
      </c>
      <c r="O69" s="16">
        <v>15</v>
      </c>
      <c r="P69" s="16">
        <v>110</v>
      </c>
      <c r="Q69" s="16">
        <v>0</v>
      </c>
      <c r="R69" s="16"/>
      <c r="S69" s="16">
        <v>0</v>
      </c>
      <c r="T69" s="17">
        <v>114290.50720589161</v>
      </c>
      <c r="V69" s="8"/>
      <c r="W69" s="8"/>
      <c r="X69" s="19"/>
    </row>
    <row r="70" spans="1:38" x14ac:dyDescent="0.25">
      <c r="A70" s="20" t="s">
        <v>87</v>
      </c>
      <c r="B70" s="102" t="s">
        <v>116</v>
      </c>
      <c r="C70" s="21">
        <v>0</v>
      </c>
      <c r="D70" s="21">
        <v>0</v>
      </c>
      <c r="E70" s="21">
        <v>0</v>
      </c>
      <c r="F70" s="21">
        <v>0</v>
      </c>
      <c r="G70" s="21">
        <v>0</v>
      </c>
      <c r="H70" s="21">
        <v>34</v>
      </c>
      <c r="I70" s="21">
        <v>0</v>
      </c>
      <c r="J70" s="21">
        <v>0</v>
      </c>
      <c r="K70" s="21">
        <v>0</v>
      </c>
      <c r="L70" s="21">
        <v>0</v>
      </c>
      <c r="M70" s="21">
        <v>0</v>
      </c>
      <c r="N70" s="21">
        <v>0</v>
      </c>
      <c r="O70" s="21">
        <v>0</v>
      </c>
      <c r="P70" s="21">
        <v>0</v>
      </c>
      <c r="Q70" s="21">
        <v>0</v>
      </c>
      <c r="R70" s="21"/>
      <c r="S70" s="21">
        <v>253501</v>
      </c>
      <c r="T70" s="22">
        <v>253535</v>
      </c>
      <c r="V70" s="8"/>
      <c r="W70" s="8"/>
    </row>
    <row r="71" spans="1:38" x14ac:dyDescent="0.25">
      <c r="A71" s="12" t="s">
        <v>88</v>
      </c>
      <c r="B71" s="100" t="s">
        <v>161</v>
      </c>
      <c r="C71" s="13">
        <v>26</v>
      </c>
      <c r="D71" s="13">
        <v>250</v>
      </c>
      <c r="E71" s="13">
        <v>46</v>
      </c>
      <c r="F71" s="13">
        <v>0</v>
      </c>
      <c r="G71" s="13">
        <v>0</v>
      </c>
      <c r="H71" s="13">
        <v>37</v>
      </c>
      <c r="I71" s="13">
        <v>0</v>
      </c>
      <c r="J71" s="13">
        <v>0</v>
      </c>
      <c r="K71" s="13">
        <v>208427</v>
      </c>
      <c r="L71" s="13">
        <v>0</v>
      </c>
      <c r="M71" s="13">
        <v>0</v>
      </c>
      <c r="N71" s="13">
        <v>0</v>
      </c>
      <c r="O71" s="13">
        <v>0</v>
      </c>
      <c r="P71" s="13">
        <v>0</v>
      </c>
      <c r="Q71" s="13">
        <v>0</v>
      </c>
      <c r="R71" s="13"/>
      <c r="S71" s="13">
        <v>0</v>
      </c>
      <c r="T71" s="14">
        <v>208786</v>
      </c>
      <c r="V71" s="8"/>
      <c r="W71" s="8"/>
      <c r="X71" s="26"/>
      <c r="Y71" s="26"/>
      <c r="Z71" s="26"/>
      <c r="AA71" s="26"/>
      <c r="AB71" s="26"/>
      <c r="AC71" s="26"/>
      <c r="AD71" s="26"/>
      <c r="AE71" s="26"/>
      <c r="AF71" s="26"/>
      <c r="AG71" s="26"/>
      <c r="AH71" s="26"/>
      <c r="AI71" s="26"/>
      <c r="AJ71" s="26"/>
      <c r="AK71" s="26"/>
      <c r="AL71" s="26"/>
    </row>
    <row r="72" spans="1:38" x14ac:dyDescent="0.25">
      <c r="A72" s="12" t="s">
        <v>89</v>
      </c>
      <c r="B72" s="100" t="s">
        <v>117</v>
      </c>
      <c r="C72" s="13">
        <v>0</v>
      </c>
      <c r="D72" s="13">
        <v>0</v>
      </c>
      <c r="E72" s="13">
        <v>0</v>
      </c>
      <c r="F72" s="13">
        <v>0</v>
      </c>
      <c r="G72" s="13">
        <v>0</v>
      </c>
      <c r="H72" s="13">
        <v>1380</v>
      </c>
      <c r="I72" s="13">
        <v>0</v>
      </c>
      <c r="J72" s="13">
        <v>0</v>
      </c>
      <c r="K72" s="13">
        <v>2997</v>
      </c>
      <c r="L72" s="13">
        <v>0</v>
      </c>
      <c r="M72" s="13">
        <v>0</v>
      </c>
      <c r="N72" s="13">
        <v>0</v>
      </c>
      <c r="O72" s="13">
        <v>0</v>
      </c>
      <c r="P72" s="13">
        <v>0</v>
      </c>
      <c r="Q72" s="13">
        <v>0</v>
      </c>
      <c r="R72" s="13"/>
      <c r="S72" s="13">
        <v>0</v>
      </c>
      <c r="T72" s="14">
        <v>4377</v>
      </c>
      <c r="V72" s="8"/>
      <c r="W72" s="8"/>
      <c r="X72" s="26"/>
      <c r="Y72" s="26"/>
      <c r="Z72" s="26"/>
      <c r="AA72" s="26"/>
      <c r="AB72" s="26"/>
      <c r="AC72" s="26"/>
      <c r="AD72" s="26"/>
      <c r="AE72" s="26"/>
      <c r="AF72" s="26"/>
      <c r="AG72" s="26"/>
      <c r="AH72" s="26"/>
      <c r="AI72" s="26"/>
      <c r="AJ72" s="26"/>
      <c r="AK72" s="26"/>
      <c r="AL72" s="26"/>
    </row>
    <row r="73" spans="1:38" x14ac:dyDescent="0.25">
      <c r="A73" s="15" t="s">
        <v>90</v>
      </c>
      <c r="B73" s="42" t="s">
        <v>119</v>
      </c>
      <c r="C73" s="16">
        <v>0</v>
      </c>
      <c r="D73" s="16">
        <v>-6.5180298224731814E-4</v>
      </c>
      <c r="E73" s="16">
        <v>895</v>
      </c>
      <c r="F73" s="16">
        <v>1</v>
      </c>
      <c r="G73" s="16">
        <v>0</v>
      </c>
      <c r="H73" s="16">
        <v>2020</v>
      </c>
      <c r="I73" s="16">
        <v>0</v>
      </c>
      <c r="J73" s="16">
        <v>0</v>
      </c>
      <c r="K73" s="16">
        <v>0</v>
      </c>
      <c r="L73" s="16">
        <v>0</v>
      </c>
      <c r="M73" s="16">
        <v>0</v>
      </c>
      <c r="N73" s="16">
        <v>0</v>
      </c>
      <c r="O73" s="16">
        <v>0</v>
      </c>
      <c r="P73" s="16">
        <v>0</v>
      </c>
      <c r="Q73" s="16">
        <v>0</v>
      </c>
      <c r="R73" s="16"/>
      <c r="S73" s="16">
        <v>0</v>
      </c>
      <c r="T73" s="17">
        <v>2915.9993481970178</v>
      </c>
      <c r="V73" s="8"/>
      <c r="W73" s="8"/>
      <c r="X73" s="19"/>
    </row>
    <row r="74" spans="1:38" x14ac:dyDescent="0.25">
      <c r="A74" s="27" t="s">
        <v>91</v>
      </c>
      <c r="B74" s="42" t="s">
        <v>118</v>
      </c>
      <c r="C74" s="6">
        <v>0</v>
      </c>
      <c r="D74" s="6">
        <v>0</v>
      </c>
      <c r="E74" s="6">
        <v>0</v>
      </c>
      <c r="F74" s="6">
        <v>0</v>
      </c>
      <c r="G74" s="6">
        <v>0</v>
      </c>
      <c r="H74" s="6">
        <v>0</v>
      </c>
      <c r="I74" s="6">
        <v>0</v>
      </c>
      <c r="J74" s="6">
        <v>0</v>
      </c>
      <c r="K74" s="6">
        <v>0</v>
      </c>
      <c r="L74" s="6">
        <v>0</v>
      </c>
      <c r="M74" s="6">
        <v>0</v>
      </c>
      <c r="N74" s="6">
        <v>0</v>
      </c>
      <c r="O74" s="6">
        <v>0</v>
      </c>
      <c r="P74" s="6">
        <v>0</v>
      </c>
      <c r="Q74" s="6">
        <v>0</v>
      </c>
      <c r="R74" s="6">
        <v>437500</v>
      </c>
      <c r="S74" s="28"/>
      <c r="T74" s="29">
        <v>437500</v>
      </c>
      <c r="V74" s="8"/>
      <c r="W74" s="8"/>
      <c r="X74" s="19"/>
    </row>
    <row r="75" spans="1:38" x14ac:dyDescent="0.25">
      <c r="A75" s="30" t="s">
        <v>92</v>
      </c>
      <c r="C75" s="31">
        <v>738232</v>
      </c>
      <c r="D75" s="31">
        <v>7107510.0000000009</v>
      </c>
      <c r="E75" s="31">
        <v>385172</v>
      </c>
      <c r="F75" s="31">
        <v>43325</v>
      </c>
      <c r="G75" s="31">
        <v>188943</v>
      </c>
      <c r="H75" s="31">
        <f>3940728.6</f>
        <v>3940728.6</v>
      </c>
      <c r="I75" s="31">
        <v>852855.2</v>
      </c>
      <c r="J75" s="31">
        <v>0</v>
      </c>
      <c r="K75" s="31">
        <v>1917024</v>
      </c>
      <c r="L75" s="31">
        <v>624779.00000000023</v>
      </c>
      <c r="M75" s="31">
        <v>95844</v>
      </c>
      <c r="N75" s="31">
        <v>52088</v>
      </c>
      <c r="O75" s="31">
        <v>77447</v>
      </c>
      <c r="P75" s="31">
        <v>23059</v>
      </c>
      <c r="Q75" s="31">
        <v>0</v>
      </c>
      <c r="R75" s="31">
        <v>437500</v>
      </c>
      <c r="S75" s="31">
        <v>253501</v>
      </c>
      <c r="T75" s="32">
        <v>16738007.800000008</v>
      </c>
      <c r="V75" s="8"/>
      <c r="W75" s="8"/>
      <c r="X75" s="19"/>
    </row>
    <row r="76" spans="1:38" ht="13" thickBot="1" x14ac:dyDescent="0.3">
      <c r="A76" s="33"/>
      <c r="B76" s="41"/>
      <c r="C76" s="34"/>
      <c r="D76" s="34"/>
      <c r="E76" s="34"/>
      <c r="F76" s="34"/>
      <c r="G76" s="34"/>
      <c r="H76" s="34"/>
      <c r="I76" s="34"/>
      <c r="J76" s="34"/>
      <c r="K76" s="34"/>
      <c r="L76" s="34"/>
      <c r="M76" s="34"/>
      <c r="N76" s="34"/>
      <c r="O76" s="34"/>
      <c r="P76" s="34"/>
      <c r="Q76" s="34"/>
      <c r="R76" s="34"/>
      <c r="S76" s="34"/>
      <c r="T76" s="35"/>
      <c r="V76" s="8"/>
    </row>
    <row r="77" spans="1:38" x14ac:dyDescent="0.25">
      <c r="A77" s="26"/>
      <c r="C77" s="36"/>
      <c r="D77" s="36"/>
      <c r="E77" s="37"/>
      <c r="F77" s="37"/>
      <c r="G77" s="37"/>
      <c r="H77" s="37"/>
      <c r="I77" s="37"/>
      <c r="J77" s="37"/>
      <c r="K77" s="37"/>
      <c r="L77" s="37"/>
      <c r="M77" s="37"/>
      <c r="N77" s="37"/>
      <c r="O77" s="37"/>
      <c r="P77" s="37"/>
      <c r="Q77" s="37"/>
      <c r="R77" s="37"/>
      <c r="S77" s="37"/>
      <c r="T77" s="37"/>
    </row>
    <row r="78" spans="1:38" x14ac:dyDescent="0.25">
      <c r="A78" s="26"/>
      <c r="C78" s="37"/>
      <c r="D78" s="37"/>
      <c r="E78" s="37"/>
      <c r="F78" s="37"/>
      <c r="G78" s="37"/>
      <c r="H78" s="37"/>
      <c r="I78" s="37"/>
      <c r="J78" s="37"/>
      <c r="K78" s="37"/>
      <c r="L78" s="37"/>
      <c r="M78" s="37"/>
      <c r="N78" s="37"/>
      <c r="O78" s="37"/>
      <c r="P78" s="37"/>
      <c r="Q78" s="37"/>
      <c r="R78" s="37"/>
      <c r="S78" s="37"/>
      <c r="T78" s="37"/>
      <c r="V78" s="8"/>
    </row>
    <row r="79" spans="1:38" x14ac:dyDescent="0.25">
      <c r="A79" s="26"/>
      <c r="C79" s="19"/>
      <c r="D79" s="19"/>
      <c r="E79" s="19"/>
      <c r="F79" s="19"/>
      <c r="G79" s="19"/>
      <c r="H79" s="19"/>
      <c r="I79" s="19"/>
      <c r="J79" s="19"/>
      <c r="K79" s="19"/>
      <c r="L79" s="19"/>
      <c r="M79" s="19"/>
      <c r="N79" s="19"/>
      <c r="O79" s="19"/>
      <c r="P79" s="19"/>
      <c r="Q79" s="19"/>
      <c r="R79" s="19"/>
      <c r="S79" s="19"/>
      <c r="T79" s="19"/>
    </row>
    <row r="80" spans="1:38" s="26" customFormat="1" x14ac:dyDescent="0.25">
      <c r="B80" s="40"/>
      <c r="C80" s="37"/>
      <c r="D80" s="37"/>
      <c r="E80" s="37"/>
      <c r="F80" s="37"/>
      <c r="G80" s="37"/>
      <c r="H80" s="37"/>
      <c r="I80" s="37"/>
      <c r="J80" s="37"/>
      <c r="K80" s="37"/>
      <c r="L80" s="37"/>
      <c r="M80" s="37"/>
      <c r="N80" s="37"/>
      <c r="O80" s="37"/>
      <c r="P80" s="37"/>
      <c r="Q80" s="37"/>
      <c r="R80" s="37"/>
      <c r="S80" s="37"/>
      <c r="T80" s="37"/>
      <c r="V80" s="3"/>
      <c r="W80" s="3"/>
      <c r="X80" s="1"/>
      <c r="Y80" s="1"/>
      <c r="Z80" s="1"/>
      <c r="AA80" s="1"/>
      <c r="AB80" s="1"/>
      <c r="AC80" s="1"/>
      <c r="AD80" s="1"/>
      <c r="AE80" s="1"/>
      <c r="AF80" s="1"/>
      <c r="AG80" s="1"/>
      <c r="AH80" s="1"/>
      <c r="AI80" s="1"/>
      <c r="AJ80" s="1"/>
      <c r="AK80" s="1"/>
      <c r="AL80" s="1"/>
    </row>
    <row r="81" spans="1:38" s="26" customFormat="1" x14ac:dyDescent="0.25">
      <c r="B81" s="40"/>
      <c r="C81" s="37"/>
      <c r="D81" s="37"/>
      <c r="E81" s="37"/>
      <c r="F81" s="37"/>
      <c r="G81" s="37"/>
      <c r="H81" s="37"/>
      <c r="I81" s="37"/>
      <c r="J81" s="37"/>
      <c r="K81" s="37"/>
      <c r="L81" s="37"/>
      <c r="M81" s="37"/>
      <c r="N81" s="37"/>
      <c r="O81" s="37"/>
      <c r="P81" s="37"/>
      <c r="Q81" s="37"/>
      <c r="R81" s="37"/>
      <c r="S81" s="37"/>
      <c r="T81" s="37"/>
      <c r="V81" s="3"/>
      <c r="W81" s="3"/>
      <c r="X81" s="1"/>
      <c r="Y81" s="1"/>
      <c r="Z81" s="1"/>
      <c r="AA81" s="1"/>
      <c r="AB81" s="1"/>
      <c r="AC81" s="1"/>
      <c r="AD81" s="1"/>
      <c r="AE81" s="1"/>
      <c r="AF81" s="1"/>
      <c r="AG81" s="1"/>
      <c r="AH81" s="1"/>
      <c r="AI81" s="1"/>
      <c r="AJ81" s="1"/>
      <c r="AK81" s="1"/>
      <c r="AL81" s="1"/>
    </row>
    <row r="82" spans="1:38" x14ac:dyDescent="0.25">
      <c r="A82" s="26"/>
      <c r="E82" s="26"/>
      <c r="F82" s="26"/>
      <c r="G82" s="26"/>
      <c r="H82" s="26"/>
      <c r="I82" s="26"/>
      <c r="J82" s="26"/>
      <c r="L82" s="3"/>
      <c r="O82" s="19" t="s">
        <v>1</v>
      </c>
      <c r="R82" s="38"/>
      <c r="S82" s="38"/>
      <c r="V82" s="1"/>
      <c r="W82" s="1"/>
    </row>
    <row r="83" spans="1:38" x14ac:dyDescent="0.25">
      <c r="A83" s="26"/>
      <c r="E83" s="26"/>
      <c r="F83" s="26"/>
      <c r="G83" s="26"/>
      <c r="H83" s="37" t="s">
        <v>1</v>
      </c>
      <c r="I83" s="26"/>
      <c r="K83" s="3"/>
      <c r="N83" s="37"/>
      <c r="R83" s="38"/>
      <c r="S83" s="38"/>
      <c r="V83" s="1"/>
      <c r="W83" s="1"/>
    </row>
    <row r="84" spans="1:38" x14ac:dyDescent="0.25">
      <c r="A84" s="26"/>
      <c r="E84" s="26"/>
      <c r="F84" s="26"/>
      <c r="G84" s="26"/>
      <c r="H84" s="37" t="s">
        <v>1</v>
      </c>
      <c r="I84" s="26"/>
      <c r="J84" s="26"/>
      <c r="L84" s="3"/>
      <c r="R84" s="38"/>
      <c r="S84" s="38"/>
      <c r="V84" s="1"/>
      <c r="W84" s="1"/>
    </row>
  </sheetData>
  <pageMargins left="0.11811023622047245" right="0.11811023622047245" top="0.35433070866141736" bottom="0.35433070866141736" header="0.31496062992125984" footer="0.11811023622047245"/>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09"/>
  <sheetViews>
    <sheetView topLeftCell="K54" zoomScaleNormal="100" workbookViewId="0">
      <selection activeCell="T5" sqref="T5:T74"/>
    </sheetView>
  </sheetViews>
  <sheetFormatPr defaultRowHeight="12.5" x14ac:dyDescent="0.25"/>
  <cols>
    <col min="2" max="2" width="27.54296875" customWidth="1"/>
    <col min="20" max="20" width="15.54296875" customWidth="1"/>
  </cols>
  <sheetData>
    <row r="1" spans="1:40" ht="14" x14ac:dyDescent="0.25">
      <c r="A1" s="117" t="s">
        <v>169</v>
      </c>
      <c r="B1" s="49"/>
      <c r="C1" s="1"/>
      <c r="D1" s="1"/>
      <c r="E1" s="1"/>
      <c r="F1" s="1"/>
      <c r="G1" s="2" t="s">
        <v>1</v>
      </c>
      <c r="H1" s="1"/>
      <c r="I1" s="1"/>
      <c r="J1" s="1"/>
      <c r="K1" s="1"/>
      <c r="L1" s="1"/>
      <c r="M1" s="1"/>
      <c r="N1" s="1"/>
      <c r="O1" s="1"/>
      <c r="P1" s="1"/>
      <c r="Q1" s="1"/>
      <c r="R1" s="1"/>
      <c r="S1" s="1"/>
      <c r="T1" s="1"/>
      <c r="U1" s="1"/>
      <c r="V1" s="3"/>
      <c r="W1" s="3"/>
      <c r="X1" s="1"/>
      <c r="Y1" s="1"/>
      <c r="Z1" s="1"/>
      <c r="AA1" s="1"/>
      <c r="AB1" s="1"/>
      <c r="AC1" s="1"/>
      <c r="AD1" s="1"/>
      <c r="AE1" s="1"/>
      <c r="AF1" s="1"/>
      <c r="AG1" s="1"/>
      <c r="AH1" s="1"/>
      <c r="AI1" s="1"/>
      <c r="AJ1" s="1"/>
      <c r="AK1" s="1"/>
      <c r="AL1" s="1"/>
      <c r="AM1" s="1"/>
      <c r="AN1" s="1"/>
    </row>
    <row r="2" spans="1:40" ht="13" thickBot="1" x14ac:dyDescent="0.3">
      <c r="A2" s="1"/>
      <c r="B2" s="1"/>
      <c r="C2" s="1"/>
      <c r="D2" s="1"/>
      <c r="E2" s="1"/>
      <c r="F2" s="1"/>
      <c r="G2" s="1"/>
      <c r="H2" s="1"/>
      <c r="I2" s="1"/>
      <c r="J2" s="1"/>
      <c r="K2" s="1"/>
      <c r="L2" s="1"/>
      <c r="M2" s="1"/>
      <c r="N2" s="1"/>
      <c r="O2" s="1"/>
      <c r="P2" s="1"/>
      <c r="Q2" s="1"/>
      <c r="R2" s="1"/>
      <c r="S2" s="1"/>
      <c r="T2" s="1"/>
      <c r="U2" s="1"/>
      <c r="V2" s="3"/>
      <c r="W2" s="3"/>
      <c r="X2" s="1"/>
      <c r="Y2" s="1"/>
      <c r="Z2" s="1"/>
      <c r="AA2" s="1"/>
      <c r="AB2" s="1"/>
      <c r="AC2" s="1"/>
      <c r="AD2" s="1"/>
      <c r="AE2" s="1"/>
      <c r="AF2" s="1"/>
      <c r="AG2" s="1"/>
      <c r="AH2" s="1"/>
      <c r="AI2" s="1"/>
      <c r="AJ2" s="1"/>
      <c r="AK2" s="1"/>
      <c r="AL2" s="1"/>
      <c r="AM2" s="1"/>
      <c r="AN2" s="1"/>
    </row>
    <row r="3" spans="1:40" x14ac:dyDescent="0.25">
      <c r="A3" s="64" t="s">
        <v>1</v>
      </c>
      <c r="B3" s="65" t="s">
        <v>2</v>
      </c>
      <c r="C3" s="50">
        <v>1211</v>
      </c>
      <c r="D3" s="51">
        <v>1213</v>
      </c>
      <c r="E3" s="52">
        <v>1219</v>
      </c>
      <c r="F3" s="52">
        <v>1222</v>
      </c>
      <c r="G3" s="52">
        <v>1223</v>
      </c>
      <c r="H3" s="52">
        <v>1229</v>
      </c>
      <c r="I3" s="52">
        <v>1231</v>
      </c>
      <c r="J3" s="52">
        <v>1233</v>
      </c>
      <c r="K3" s="52">
        <v>1241</v>
      </c>
      <c r="L3" s="52">
        <v>1242</v>
      </c>
      <c r="M3" s="52">
        <v>1243</v>
      </c>
      <c r="N3" s="52">
        <v>1249</v>
      </c>
      <c r="O3" s="52">
        <v>1251</v>
      </c>
      <c r="P3" s="52">
        <v>1252</v>
      </c>
      <c r="Q3" s="52">
        <v>1259</v>
      </c>
      <c r="R3" s="52">
        <v>1261</v>
      </c>
      <c r="S3" s="52">
        <v>1262</v>
      </c>
      <c r="T3" s="53" t="s">
        <v>3</v>
      </c>
      <c r="U3" s="1"/>
      <c r="V3" s="3"/>
      <c r="W3" s="3"/>
      <c r="X3" s="1"/>
      <c r="Y3" s="1"/>
      <c r="Z3" s="1"/>
      <c r="AA3" s="1"/>
      <c r="AB3" s="1"/>
      <c r="AC3" s="1"/>
      <c r="AD3" s="1"/>
      <c r="AE3" s="1"/>
      <c r="AF3" s="1"/>
      <c r="AG3" s="1"/>
      <c r="AH3" s="1"/>
      <c r="AI3" s="1"/>
      <c r="AJ3" s="1"/>
      <c r="AK3" s="1"/>
      <c r="AL3" s="1"/>
      <c r="AM3" s="1"/>
      <c r="AN3" s="1"/>
    </row>
    <row r="4" spans="1:40" ht="31.5" x14ac:dyDescent="0.25">
      <c r="A4" s="43" t="s">
        <v>4</v>
      </c>
      <c r="B4" s="44" t="s">
        <v>162</v>
      </c>
      <c r="C4" s="54" t="s">
        <v>5</v>
      </c>
      <c r="D4" s="54" t="s">
        <v>163</v>
      </c>
      <c r="E4" s="55" t="s">
        <v>164</v>
      </c>
      <c r="F4" s="55" t="s">
        <v>8</v>
      </c>
      <c r="G4" s="55" t="s">
        <v>9</v>
      </c>
      <c r="H4" s="55" t="s">
        <v>10</v>
      </c>
      <c r="I4" s="55" t="s">
        <v>11</v>
      </c>
      <c r="J4" s="55" t="s">
        <v>12</v>
      </c>
      <c r="K4" s="55" t="s">
        <v>13</v>
      </c>
      <c r="L4" s="55" t="s">
        <v>14</v>
      </c>
      <c r="M4" s="55" t="s">
        <v>15</v>
      </c>
      <c r="N4" s="55" t="s">
        <v>16</v>
      </c>
      <c r="O4" s="55" t="s">
        <v>17</v>
      </c>
      <c r="P4" s="55" t="s">
        <v>18</v>
      </c>
      <c r="Q4" s="55" t="s">
        <v>19</v>
      </c>
      <c r="R4" s="55" t="s">
        <v>20</v>
      </c>
      <c r="S4" s="55" t="s">
        <v>21</v>
      </c>
      <c r="T4" s="56"/>
      <c r="U4" s="1"/>
      <c r="V4" s="3"/>
      <c r="W4" s="3"/>
      <c r="AN4" s="1"/>
    </row>
    <row r="5" spans="1:40" x14ac:dyDescent="0.25">
      <c r="A5" s="5" t="s">
        <v>22</v>
      </c>
      <c r="B5" s="42" t="s">
        <v>93</v>
      </c>
      <c r="C5" s="6">
        <v>24635</v>
      </c>
      <c r="D5" s="6">
        <v>198977</v>
      </c>
      <c r="E5" s="6">
        <v>20172</v>
      </c>
      <c r="F5" s="6">
        <v>-87</v>
      </c>
      <c r="G5" s="6">
        <v>0</v>
      </c>
      <c r="H5" s="6">
        <v>72374.000000000015</v>
      </c>
      <c r="I5" s="6">
        <v>9316</v>
      </c>
      <c r="J5" s="6">
        <v>0</v>
      </c>
      <c r="K5" s="6">
        <v>6687</v>
      </c>
      <c r="L5" s="6">
        <v>7318</v>
      </c>
      <c r="M5" s="6">
        <v>0</v>
      </c>
      <c r="N5" s="6">
        <v>11060</v>
      </c>
      <c r="O5" s="6">
        <v>0</v>
      </c>
      <c r="P5" s="6">
        <v>-2748</v>
      </c>
      <c r="Q5" s="6">
        <v>0</v>
      </c>
      <c r="R5" s="6"/>
      <c r="S5" s="6">
        <v>0</v>
      </c>
      <c r="T5" s="7">
        <v>347704</v>
      </c>
      <c r="V5" s="57"/>
      <c r="W5" s="57"/>
    </row>
    <row r="6" spans="1:40" x14ac:dyDescent="0.25">
      <c r="A6" s="9" t="s">
        <v>23</v>
      </c>
      <c r="B6" s="99" t="s">
        <v>120</v>
      </c>
      <c r="C6" s="10">
        <v>66299</v>
      </c>
      <c r="D6" s="10">
        <v>507993</v>
      </c>
      <c r="E6" s="10">
        <v>28155</v>
      </c>
      <c r="F6" s="10">
        <v>5</v>
      </c>
      <c r="G6" s="10">
        <v>0</v>
      </c>
      <c r="H6" s="10">
        <v>118320.00000000001</v>
      </c>
      <c r="I6" s="10">
        <v>24565</v>
      </c>
      <c r="J6" s="10">
        <v>0</v>
      </c>
      <c r="K6" s="10">
        <v>342</v>
      </c>
      <c r="L6" s="10">
        <v>0</v>
      </c>
      <c r="M6" s="10">
        <v>0</v>
      </c>
      <c r="N6" s="10">
        <v>0</v>
      </c>
      <c r="O6" s="10">
        <v>0</v>
      </c>
      <c r="P6" s="10">
        <v>0</v>
      </c>
      <c r="Q6" s="10">
        <v>0</v>
      </c>
      <c r="R6" s="10"/>
      <c r="S6" s="10">
        <v>0</v>
      </c>
      <c r="T6" s="11">
        <v>745679</v>
      </c>
      <c r="V6" s="57"/>
      <c r="W6" s="57"/>
    </row>
    <row r="7" spans="1:40" x14ac:dyDescent="0.25">
      <c r="A7" s="12" t="s">
        <v>24</v>
      </c>
      <c r="B7" s="100" t="s">
        <v>121</v>
      </c>
      <c r="C7" s="13">
        <v>12097</v>
      </c>
      <c r="D7" s="13">
        <v>95347</v>
      </c>
      <c r="E7" s="13">
        <v>7872</v>
      </c>
      <c r="F7" s="13">
        <v>-59</v>
      </c>
      <c r="G7" s="13">
        <v>0</v>
      </c>
      <c r="H7" s="13">
        <v>60210</v>
      </c>
      <c r="I7" s="13">
        <v>17413</v>
      </c>
      <c r="J7" s="13">
        <v>0</v>
      </c>
      <c r="K7" s="13">
        <v>387</v>
      </c>
      <c r="L7" s="13">
        <v>0</v>
      </c>
      <c r="M7" s="13">
        <v>0</v>
      </c>
      <c r="N7" s="13">
        <v>0</v>
      </c>
      <c r="O7" s="13">
        <v>0</v>
      </c>
      <c r="P7" s="13">
        <v>0</v>
      </c>
      <c r="Q7" s="13">
        <v>0</v>
      </c>
      <c r="R7" s="13"/>
      <c r="S7" s="13">
        <v>0</v>
      </c>
      <c r="T7" s="14">
        <v>193267</v>
      </c>
      <c r="V7" s="57"/>
      <c r="W7" s="57"/>
    </row>
    <row r="8" spans="1:40" x14ac:dyDescent="0.25">
      <c r="A8" s="12" t="s">
        <v>25</v>
      </c>
      <c r="B8" s="100" t="s">
        <v>94</v>
      </c>
      <c r="C8" s="13">
        <v>12554</v>
      </c>
      <c r="D8" s="13">
        <v>113872</v>
      </c>
      <c r="E8" s="13">
        <v>7139</v>
      </c>
      <c r="F8" s="13">
        <v>109</v>
      </c>
      <c r="G8" s="13">
        <v>0</v>
      </c>
      <c r="H8" s="13">
        <v>87944</v>
      </c>
      <c r="I8" s="13">
        <v>10039</v>
      </c>
      <c r="J8" s="13">
        <v>0</v>
      </c>
      <c r="K8" s="13">
        <v>45491</v>
      </c>
      <c r="L8" s="13">
        <v>0</v>
      </c>
      <c r="M8" s="13">
        <v>0</v>
      </c>
      <c r="N8" s="13">
        <v>0</v>
      </c>
      <c r="O8" s="13">
        <v>0</v>
      </c>
      <c r="P8" s="13">
        <v>1</v>
      </c>
      <c r="Q8" s="13">
        <v>0</v>
      </c>
      <c r="R8" s="13"/>
      <c r="S8" s="13">
        <v>0</v>
      </c>
      <c r="T8" s="14">
        <v>277149</v>
      </c>
      <c r="V8" s="57"/>
      <c r="W8" s="57"/>
    </row>
    <row r="9" spans="1:40" x14ac:dyDescent="0.25">
      <c r="A9" s="12" t="s">
        <v>26</v>
      </c>
      <c r="B9" s="100" t="s">
        <v>95</v>
      </c>
      <c r="C9" s="13">
        <v>14175</v>
      </c>
      <c r="D9" s="13">
        <v>144911</v>
      </c>
      <c r="E9" s="13">
        <v>10285</v>
      </c>
      <c r="F9" s="13">
        <v>0</v>
      </c>
      <c r="G9" s="13">
        <v>0</v>
      </c>
      <c r="H9" s="13">
        <v>79529</v>
      </c>
      <c r="I9" s="13">
        <v>18912</v>
      </c>
      <c r="J9" s="13">
        <v>0</v>
      </c>
      <c r="K9" s="13">
        <v>564</v>
      </c>
      <c r="L9" s="13">
        <v>2935</v>
      </c>
      <c r="M9" s="13">
        <v>193</v>
      </c>
      <c r="N9" s="13">
        <v>0</v>
      </c>
      <c r="O9" s="13">
        <v>0</v>
      </c>
      <c r="P9" s="13">
        <v>0</v>
      </c>
      <c r="Q9" s="13">
        <v>0</v>
      </c>
      <c r="R9" s="13"/>
      <c r="S9" s="13">
        <v>0</v>
      </c>
      <c r="T9" s="14">
        <v>271504</v>
      </c>
      <c r="V9" s="57"/>
      <c r="W9" s="57"/>
    </row>
    <row r="10" spans="1:40" x14ac:dyDescent="0.25">
      <c r="A10" s="15" t="s">
        <v>27</v>
      </c>
      <c r="B10" s="101" t="s">
        <v>96</v>
      </c>
      <c r="C10" s="16">
        <v>1914</v>
      </c>
      <c r="D10" s="16">
        <v>16796</v>
      </c>
      <c r="E10" s="16">
        <v>1421</v>
      </c>
      <c r="F10" s="16">
        <v>0</v>
      </c>
      <c r="G10" s="16">
        <v>0</v>
      </c>
      <c r="H10" s="16">
        <v>40333</v>
      </c>
      <c r="I10" s="16">
        <v>4640</v>
      </c>
      <c r="J10" s="16">
        <v>0</v>
      </c>
      <c r="K10" s="16">
        <v>4663</v>
      </c>
      <c r="L10" s="16">
        <v>0</v>
      </c>
      <c r="M10" s="16">
        <v>0</v>
      </c>
      <c r="N10" s="16">
        <v>58</v>
      </c>
      <c r="O10" s="16">
        <v>0</v>
      </c>
      <c r="P10" s="16">
        <v>0</v>
      </c>
      <c r="Q10" s="16">
        <v>0</v>
      </c>
      <c r="R10" s="16"/>
      <c r="S10" s="16">
        <v>0</v>
      </c>
      <c r="T10" s="17">
        <v>69825</v>
      </c>
      <c r="V10" s="57"/>
      <c r="W10" s="57"/>
      <c r="AN10" s="58"/>
    </row>
    <row r="11" spans="1:40" x14ac:dyDescent="0.25">
      <c r="A11" s="20" t="s">
        <v>28</v>
      </c>
      <c r="B11" s="102" t="s">
        <v>122</v>
      </c>
      <c r="C11" s="21">
        <v>106260</v>
      </c>
      <c r="D11" s="21">
        <v>897410</v>
      </c>
      <c r="E11" s="21">
        <v>44308</v>
      </c>
      <c r="F11" s="21">
        <v>1043</v>
      </c>
      <c r="G11" s="21">
        <v>162.476</v>
      </c>
      <c r="H11" s="21">
        <v>368169</v>
      </c>
      <c r="I11" s="21">
        <v>59318</v>
      </c>
      <c r="J11" s="21">
        <v>0</v>
      </c>
      <c r="K11" s="21">
        <v>8465</v>
      </c>
      <c r="L11" s="21">
        <v>13712</v>
      </c>
      <c r="M11" s="21">
        <v>1067</v>
      </c>
      <c r="N11" s="21">
        <v>0</v>
      </c>
      <c r="O11" s="21">
        <v>0</v>
      </c>
      <c r="P11" s="21">
        <v>0</v>
      </c>
      <c r="Q11" s="21">
        <v>0</v>
      </c>
      <c r="R11" s="21"/>
      <c r="S11" s="21">
        <v>0</v>
      </c>
      <c r="T11" s="22">
        <v>1499914.476</v>
      </c>
      <c r="V11" s="57"/>
      <c r="W11" s="57"/>
    </row>
    <row r="12" spans="1:40" x14ac:dyDescent="0.25">
      <c r="A12" s="12" t="s">
        <v>29</v>
      </c>
      <c r="B12" s="100" t="s">
        <v>123</v>
      </c>
      <c r="C12" s="13">
        <v>73516</v>
      </c>
      <c r="D12" s="13">
        <v>618481</v>
      </c>
      <c r="E12" s="13">
        <v>30554</v>
      </c>
      <c r="F12" s="13">
        <v>722</v>
      </c>
      <c r="G12" s="13">
        <v>114.76</v>
      </c>
      <c r="H12" s="13">
        <v>257219.00000000003</v>
      </c>
      <c r="I12" s="13">
        <v>40851</v>
      </c>
      <c r="J12" s="13">
        <v>0</v>
      </c>
      <c r="K12" s="13">
        <v>5739</v>
      </c>
      <c r="L12" s="13">
        <v>9294</v>
      </c>
      <c r="M12" s="13">
        <v>717.8</v>
      </c>
      <c r="N12" s="13">
        <v>0</v>
      </c>
      <c r="O12" s="13">
        <v>0</v>
      </c>
      <c r="P12" s="13">
        <v>0</v>
      </c>
      <c r="Q12" s="13">
        <v>0</v>
      </c>
      <c r="R12" s="13"/>
      <c r="S12" s="13">
        <v>0</v>
      </c>
      <c r="T12" s="14">
        <v>1037208.56</v>
      </c>
      <c r="V12" s="57"/>
      <c r="W12" s="57"/>
    </row>
    <row r="13" spans="1:40" x14ac:dyDescent="0.25">
      <c r="A13" s="12" t="s">
        <v>30</v>
      </c>
      <c r="B13" s="100" t="s">
        <v>124</v>
      </c>
      <c r="C13" s="13">
        <v>0</v>
      </c>
      <c r="D13" s="13">
        <v>-12979</v>
      </c>
      <c r="E13" s="13">
        <v>7643</v>
      </c>
      <c r="F13" s="13">
        <v>0</v>
      </c>
      <c r="G13" s="13">
        <v>0</v>
      </c>
      <c r="H13" s="13">
        <v>-500</v>
      </c>
      <c r="I13" s="13">
        <v>0</v>
      </c>
      <c r="J13" s="13">
        <v>0</v>
      </c>
      <c r="K13" s="13">
        <v>878074</v>
      </c>
      <c r="L13" s="13">
        <v>0</v>
      </c>
      <c r="M13" s="13">
        <v>0</v>
      </c>
      <c r="N13" s="13">
        <v>123</v>
      </c>
      <c r="O13" s="13">
        <v>3</v>
      </c>
      <c r="P13" s="13">
        <v>0</v>
      </c>
      <c r="Q13" s="13">
        <v>11381</v>
      </c>
      <c r="R13" s="13"/>
      <c r="S13" s="13">
        <v>0</v>
      </c>
      <c r="T13" s="14">
        <v>883745</v>
      </c>
      <c r="V13" s="57"/>
      <c r="W13" s="57"/>
    </row>
    <row r="14" spans="1:40" x14ac:dyDescent="0.25">
      <c r="A14" s="12" t="s">
        <v>31</v>
      </c>
      <c r="B14" s="100" t="s">
        <v>125</v>
      </c>
      <c r="C14" s="13">
        <v>101</v>
      </c>
      <c r="D14" s="13">
        <v>1023</v>
      </c>
      <c r="E14" s="13">
        <v>140</v>
      </c>
      <c r="F14" s="13">
        <v>0</v>
      </c>
      <c r="G14" s="13">
        <v>0</v>
      </c>
      <c r="H14" s="13">
        <v>276</v>
      </c>
      <c r="I14" s="13">
        <v>0</v>
      </c>
      <c r="J14" s="13">
        <v>0</v>
      </c>
      <c r="K14" s="13">
        <v>0</v>
      </c>
      <c r="L14" s="13">
        <v>0</v>
      </c>
      <c r="M14" s="13">
        <v>0</v>
      </c>
      <c r="N14" s="13">
        <v>0</v>
      </c>
      <c r="O14" s="13">
        <v>0</v>
      </c>
      <c r="P14" s="13">
        <v>0</v>
      </c>
      <c r="Q14" s="13">
        <v>0</v>
      </c>
      <c r="R14" s="13"/>
      <c r="S14" s="13">
        <v>0</v>
      </c>
      <c r="T14" s="14">
        <v>1540</v>
      </c>
      <c r="V14" s="57"/>
      <c r="W14" s="57"/>
    </row>
    <row r="15" spans="1:40" x14ac:dyDescent="0.25">
      <c r="A15" s="12" t="s">
        <v>32</v>
      </c>
      <c r="B15" s="100" t="s">
        <v>126</v>
      </c>
      <c r="C15" s="13">
        <v>21198</v>
      </c>
      <c r="D15" s="13">
        <v>194367</v>
      </c>
      <c r="E15" s="13">
        <v>53781</v>
      </c>
      <c r="F15" s="13">
        <v>127</v>
      </c>
      <c r="G15" s="13">
        <v>0</v>
      </c>
      <c r="H15" s="13">
        <v>213756</v>
      </c>
      <c r="I15" s="13">
        <v>26932</v>
      </c>
      <c r="J15" s="13">
        <v>0</v>
      </c>
      <c r="K15" s="13">
        <v>25053</v>
      </c>
      <c r="L15" s="13">
        <v>0</v>
      </c>
      <c r="M15" s="13">
        <v>0</v>
      </c>
      <c r="N15" s="13">
        <v>0</v>
      </c>
      <c r="O15" s="13">
        <v>454</v>
      </c>
      <c r="P15" s="13">
        <v>-35</v>
      </c>
      <c r="Q15" s="13">
        <v>0</v>
      </c>
      <c r="R15" s="13"/>
      <c r="S15" s="13">
        <v>0</v>
      </c>
      <c r="T15" s="14">
        <v>535633</v>
      </c>
      <c r="V15" s="57"/>
      <c r="W15" s="57"/>
    </row>
    <row r="16" spans="1:40" x14ac:dyDescent="0.25">
      <c r="A16" s="12" t="s">
        <v>33</v>
      </c>
      <c r="B16" s="100" t="s">
        <v>127</v>
      </c>
      <c r="C16" s="13">
        <v>3321</v>
      </c>
      <c r="D16" s="13">
        <v>29706</v>
      </c>
      <c r="E16" s="13">
        <v>3881</v>
      </c>
      <c r="F16" s="13">
        <v>0</v>
      </c>
      <c r="G16" s="13">
        <v>0</v>
      </c>
      <c r="H16" s="13">
        <v>12089</v>
      </c>
      <c r="I16" s="13">
        <v>0</v>
      </c>
      <c r="J16" s="13">
        <v>0</v>
      </c>
      <c r="K16" s="13">
        <v>11422</v>
      </c>
      <c r="L16" s="13">
        <v>0</v>
      </c>
      <c r="M16" s="13">
        <v>0</v>
      </c>
      <c r="N16" s="13">
        <v>0</v>
      </c>
      <c r="O16" s="13">
        <v>206</v>
      </c>
      <c r="P16" s="13">
        <v>0</v>
      </c>
      <c r="Q16" s="13">
        <v>0</v>
      </c>
      <c r="R16" s="13"/>
      <c r="S16" s="13">
        <v>0</v>
      </c>
      <c r="T16" s="14">
        <v>60625</v>
      </c>
      <c r="V16" s="57"/>
      <c r="W16" s="57"/>
    </row>
    <row r="17" spans="1:27" x14ac:dyDescent="0.25">
      <c r="A17" s="12" t="s">
        <v>34</v>
      </c>
      <c r="B17" s="100" t="s">
        <v>97</v>
      </c>
      <c r="C17" s="13">
        <v>15448</v>
      </c>
      <c r="D17" s="13">
        <v>129453</v>
      </c>
      <c r="E17" s="13">
        <v>6606</v>
      </c>
      <c r="F17" s="13">
        <v>0</v>
      </c>
      <c r="G17" s="13">
        <v>24.763999999999999</v>
      </c>
      <c r="H17" s="13">
        <v>20514</v>
      </c>
      <c r="I17" s="13">
        <v>3377</v>
      </c>
      <c r="J17" s="13">
        <v>0</v>
      </c>
      <c r="K17" s="13">
        <v>7781</v>
      </c>
      <c r="L17" s="13">
        <v>2011</v>
      </c>
      <c r="M17" s="13">
        <v>155.20000000000002</v>
      </c>
      <c r="N17" s="13">
        <v>0</v>
      </c>
      <c r="O17" s="13">
        <v>0</v>
      </c>
      <c r="P17" s="13">
        <v>0</v>
      </c>
      <c r="Q17" s="13">
        <v>0</v>
      </c>
      <c r="R17" s="13"/>
      <c r="S17" s="13">
        <v>0</v>
      </c>
      <c r="T17" s="14">
        <v>185369.96400000001</v>
      </c>
      <c r="V17" s="57"/>
      <c r="W17" s="57"/>
    </row>
    <row r="18" spans="1:27" x14ac:dyDescent="0.25">
      <c r="A18" s="12" t="s">
        <v>35</v>
      </c>
      <c r="B18" s="100" t="s">
        <v>128</v>
      </c>
      <c r="C18" s="13">
        <v>0</v>
      </c>
      <c r="D18" s="13">
        <v>-37</v>
      </c>
      <c r="E18" s="13">
        <v>0</v>
      </c>
      <c r="F18" s="13">
        <v>0</v>
      </c>
      <c r="G18" s="13">
        <v>0</v>
      </c>
      <c r="H18" s="13">
        <v>-3</v>
      </c>
      <c r="I18" s="13">
        <v>0</v>
      </c>
      <c r="J18" s="13">
        <v>0</v>
      </c>
      <c r="K18" s="13">
        <v>27956</v>
      </c>
      <c r="L18" s="13">
        <v>0</v>
      </c>
      <c r="M18" s="13">
        <v>0</v>
      </c>
      <c r="N18" s="13">
        <v>0</v>
      </c>
      <c r="O18" s="13">
        <v>0</v>
      </c>
      <c r="P18" s="13">
        <v>0</v>
      </c>
      <c r="Q18" s="13">
        <v>0</v>
      </c>
      <c r="R18" s="13"/>
      <c r="S18" s="13">
        <v>0</v>
      </c>
      <c r="T18" s="14">
        <v>27916</v>
      </c>
      <c r="V18" s="57"/>
      <c r="W18" s="57"/>
    </row>
    <row r="19" spans="1:27" x14ac:dyDescent="0.25">
      <c r="A19" s="12" t="s">
        <v>36</v>
      </c>
      <c r="B19" s="100" t="s">
        <v>129</v>
      </c>
      <c r="C19" s="13">
        <v>137</v>
      </c>
      <c r="D19" s="13">
        <v>1378</v>
      </c>
      <c r="E19" s="13">
        <v>30</v>
      </c>
      <c r="F19" s="13">
        <v>0</v>
      </c>
      <c r="G19" s="13">
        <v>0</v>
      </c>
      <c r="H19" s="13">
        <v>337</v>
      </c>
      <c r="I19" s="13">
        <v>7</v>
      </c>
      <c r="J19" s="13">
        <v>0</v>
      </c>
      <c r="K19" s="13">
        <v>14799</v>
      </c>
      <c r="L19" s="13">
        <v>0</v>
      </c>
      <c r="M19" s="13">
        <v>0</v>
      </c>
      <c r="N19" s="13">
        <v>0</v>
      </c>
      <c r="O19" s="13">
        <v>0</v>
      </c>
      <c r="P19" s="13">
        <v>0</v>
      </c>
      <c r="Q19" s="13">
        <v>0</v>
      </c>
      <c r="R19" s="13"/>
      <c r="S19" s="13">
        <v>0</v>
      </c>
      <c r="T19" s="14">
        <v>16688</v>
      </c>
      <c r="V19" s="57"/>
      <c r="W19" s="57"/>
    </row>
    <row r="20" spans="1:27" x14ac:dyDescent="0.25">
      <c r="A20" s="12" t="s">
        <v>37</v>
      </c>
      <c r="B20" s="100" t="s">
        <v>130</v>
      </c>
      <c r="C20" s="13">
        <v>0</v>
      </c>
      <c r="D20" s="13">
        <v>-156</v>
      </c>
      <c r="E20" s="13">
        <v>0</v>
      </c>
      <c r="F20" s="13">
        <v>0</v>
      </c>
      <c r="G20" s="13">
        <v>26733</v>
      </c>
      <c r="H20" s="13">
        <v>-15</v>
      </c>
      <c r="I20" s="13">
        <v>0</v>
      </c>
      <c r="J20" s="13">
        <v>0</v>
      </c>
      <c r="K20" s="13">
        <v>0</v>
      </c>
      <c r="L20" s="13">
        <v>0</v>
      </c>
      <c r="M20" s="13">
        <v>0</v>
      </c>
      <c r="N20" s="13">
        <v>0</v>
      </c>
      <c r="O20" s="13">
        <v>0</v>
      </c>
      <c r="P20" s="13">
        <v>0</v>
      </c>
      <c r="Q20" s="13">
        <v>0</v>
      </c>
      <c r="R20" s="13"/>
      <c r="S20" s="13">
        <v>0</v>
      </c>
      <c r="T20" s="14">
        <v>26562</v>
      </c>
      <c r="V20" s="57"/>
      <c r="W20" s="57"/>
    </row>
    <row r="21" spans="1:27" x14ac:dyDescent="0.25">
      <c r="A21" s="15" t="s">
        <v>38</v>
      </c>
      <c r="B21" s="101" t="s">
        <v>98</v>
      </c>
      <c r="C21" s="16">
        <v>96</v>
      </c>
      <c r="D21" s="16">
        <v>656</v>
      </c>
      <c r="E21" s="16">
        <v>51</v>
      </c>
      <c r="F21" s="16">
        <v>0</v>
      </c>
      <c r="G21" s="16">
        <v>0</v>
      </c>
      <c r="H21" s="16">
        <v>1930</v>
      </c>
      <c r="I21" s="16">
        <v>15</v>
      </c>
      <c r="J21" s="16">
        <v>0</v>
      </c>
      <c r="K21" s="16">
        <v>0</v>
      </c>
      <c r="L21" s="16">
        <v>0</v>
      </c>
      <c r="M21" s="16">
        <v>0</v>
      </c>
      <c r="N21" s="16">
        <v>0</v>
      </c>
      <c r="O21" s="16">
        <v>0</v>
      </c>
      <c r="P21" s="16">
        <v>0</v>
      </c>
      <c r="Q21" s="16">
        <v>0</v>
      </c>
      <c r="R21" s="16"/>
      <c r="S21" s="16">
        <v>0</v>
      </c>
      <c r="T21" s="17">
        <v>2748</v>
      </c>
      <c r="V21" s="57"/>
      <c r="W21" s="57"/>
    </row>
    <row r="22" spans="1:27" x14ac:dyDescent="0.25">
      <c r="A22" s="20" t="s">
        <v>39</v>
      </c>
      <c r="B22" s="102" t="s">
        <v>131</v>
      </c>
      <c r="C22" s="21">
        <v>157209</v>
      </c>
      <c r="D22" s="21">
        <v>2333127</v>
      </c>
      <c r="E22" s="21">
        <v>51853</v>
      </c>
      <c r="F22" s="21">
        <v>7008</v>
      </c>
      <c r="G22" s="21">
        <v>0</v>
      </c>
      <c r="H22" s="21">
        <v>1238690</v>
      </c>
      <c r="I22" s="21">
        <v>163323</v>
      </c>
      <c r="J22" s="21">
        <v>0</v>
      </c>
      <c r="K22" s="21">
        <v>29240</v>
      </c>
      <c r="L22" s="21">
        <v>0</v>
      </c>
      <c r="M22" s="21">
        <v>0</v>
      </c>
      <c r="N22" s="21">
        <v>4883</v>
      </c>
      <c r="O22" s="21">
        <v>0</v>
      </c>
      <c r="P22" s="21">
        <v>70</v>
      </c>
      <c r="Q22" s="21">
        <v>0</v>
      </c>
      <c r="R22" s="21"/>
      <c r="S22" s="21">
        <v>0</v>
      </c>
      <c r="T22" s="22">
        <v>3985403</v>
      </c>
      <c r="V22" s="57"/>
      <c r="W22" s="57"/>
      <c r="AA22" s="58"/>
    </row>
    <row r="23" spans="1:27" x14ac:dyDescent="0.25">
      <c r="A23" s="12" t="s">
        <v>40</v>
      </c>
      <c r="B23" s="100" t="s">
        <v>132</v>
      </c>
      <c r="C23" s="13">
        <v>28041</v>
      </c>
      <c r="D23" s="13">
        <v>300359</v>
      </c>
      <c r="E23" s="13">
        <v>6324</v>
      </c>
      <c r="F23" s="13">
        <v>76</v>
      </c>
      <c r="G23" s="13">
        <v>0</v>
      </c>
      <c r="H23" s="13">
        <v>82092</v>
      </c>
      <c r="I23" s="13">
        <v>1506</v>
      </c>
      <c r="J23" s="13">
        <v>0</v>
      </c>
      <c r="K23" s="13">
        <v>0</v>
      </c>
      <c r="L23" s="13">
        <v>0</v>
      </c>
      <c r="M23" s="13">
        <v>0</v>
      </c>
      <c r="N23" s="13">
        <v>0</v>
      </c>
      <c r="O23" s="13">
        <v>3</v>
      </c>
      <c r="P23" s="13">
        <v>0</v>
      </c>
      <c r="Q23" s="13">
        <v>0</v>
      </c>
      <c r="R23" s="13"/>
      <c r="S23" s="13">
        <v>0</v>
      </c>
      <c r="T23" s="14">
        <v>418401</v>
      </c>
      <c r="V23" s="57"/>
      <c r="W23" s="57"/>
      <c r="AA23" s="58"/>
    </row>
    <row r="24" spans="1:27" x14ac:dyDescent="0.25">
      <c r="A24" s="12" t="s">
        <v>41</v>
      </c>
      <c r="B24" s="100" t="s">
        <v>133</v>
      </c>
      <c r="C24" s="13">
        <v>0</v>
      </c>
      <c r="D24" s="13">
        <v>0</v>
      </c>
      <c r="E24" s="13">
        <v>0</v>
      </c>
      <c r="F24" s="13">
        <v>0</v>
      </c>
      <c r="G24" s="13">
        <v>0</v>
      </c>
      <c r="H24" s="13">
        <v>0</v>
      </c>
      <c r="I24" s="13">
        <v>0</v>
      </c>
      <c r="J24" s="13">
        <v>0</v>
      </c>
      <c r="K24" s="13">
        <v>0</v>
      </c>
      <c r="L24" s="13">
        <v>0</v>
      </c>
      <c r="M24" s="13">
        <v>0</v>
      </c>
      <c r="N24" s="13">
        <v>0</v>
      </c>
      <c r="O24" s="13">
        <v>0</v>
      </c>
      <c r="P24" s="13">
        <v>0</v>
      </c>
      <c r="Q24" s="13">
        <v>0</v>
      </c>
      <c r="R24" s="13"/>
      <c r="S24" s="13">
        <v>0</v>
      </c>
      <c r="T24" s="14">
        <v>0</v>
      </c>
      <c r="V24" s="57"/>
      <c r="W24" s="57"/>
      <c r="AA24" s="58"/>
    </row>
    <row r="25" spans="1:27" x14ac:dyDescent="0.25">
      <c r="A25" s="12" t="s">
        <v>42</v>
      </c>
      <c r="B25" s="100" t="s">
        <v>99</v>
      </c>
      <c r="C25" s="13">
        <v>0</v>
      </c>
      <c r="D25" s="13">
        <v>0</v>
      </c>
      <c r="E25" s="13">
        <v>0</v>
      </c>
      <c r="F25" s="13">
        <v>0</v>
      </c>
      <c r="G25" s="13">
        <v>0</v>
      </c>
      <c r="H25" s="13">
        <v>0</v>
      </c>
      <c r="I25" s="13">
        <v>0</v>
      </c>
      <c r="J25" s="13">
        <v>0</v>
      </c>
      <c r="K25" s="13">
        <v>0</v>
      </c>
      <c r="L25" s="13">
        <v>0</v>
      </c>
      <c r="M25" s="13">
        <v>0</v>
      </c>
      <c r="N25" s="13">
        <v>0</v>
      </c>
      <c r="O25" s="13">
        <v>0</v>
      </c>
      <c r="P25" s="13">
        <v>0</v>
      </c>
      <c r="Q25" s="13">
        <v>0</v>
      </c>
      <c r="R25" s="13"/>
      <c r="S25" s="13">
        <v>0</v>
      </c>
      <c r="T25" s="14">
        <v>0</v>
      </c>
      <c r="V25" s="57"/>
      <c r="W25" s="57"/>
      <c r="AA25" s="58"/>
    </row>
    <row r="26" spans="1:27" x14ac:dyDescent="0.25">
      <c r="A26" s="12" t="s">
        <v>43</v>
      </c>
      <c r="B26" s="100" t="s">
        <v>134</v>
      </c>
      <c r="C26" s="13">
        <v>7610</v>
      </c>
      <c r="D26" s="13">
        <v>1905</v>
      </c>
      <c r="E26" s="13">
        <v>4371</v>
      </c>
      <c r="F26" s="13">
        <v>0</v>
      </c>
      <c r="G26" s="13">
        <v>0</v>
      </c>
      <c r="H26" s="13">
        <v>3742</v>
      </c>
      <c r="I26" s="13">
        <v>313</v>
      </c>
      <c r="J26" s="13">
        <v>0</v>
      </c>
      <c r="K26" s="13">
        <v>2694</v>
      </c>
      <c r="L26" s="13">
        <v>0</v>
      </c>
      <c r="M26" s="13">
        <v>0</v>
      </c>
      <c r="N26" s="13">
        <v>0</v>
      </c>
      <c r="O26" s="13">
        <v>0</v>
      </c>
      <c r="P26" s="13">
        <v>0</v>
      </c>
      <c r="Q26" s="13">
        <v>0</v>
      </c>
      <c r="R26" s="13"/>
      <c r="S26" s="13">
        <v>0</v>
      </c>
      <c r="T26" s="14">
        <v>20635</v>
      </c>
      <c r="V26" s="57"/>
      <c r="W26" s="57"/>
      <c r="AA26" s="58"/>
    </row>
    <row r="27" spans="1:27" x14ac:dyDescent="0.25">
      <c r="A27" s="12" t="s">
        <v>44</v>
      </c>
      <c r="B27" s="100" t="s">
        <v>135</v>
      </c>
      <c r="C27" s="13">
        <v>13627</v>
      </c>
      <c r="D27" s="13">
        <v>134987</v>
      </c>
      <c r="E27" s="13">
        <v>16525</v>
      </c>
      <c r="F27" s="13">
        <v>12182</v>
      </c>
      <c r="G27" s="13">
        <v>0</v>
      </c>
      <c r="H27" s="13">
        <v>28705</v>
      </c>
      <c r="I27" s="13">
        <v>8927</v>
      </c>
      <c r="J27" s="13">
        <v>0</v>
      </c>
      <c r="K27" s="13">
        <v>0</v>
      </c>
      <c r="L27" s="13">
        <v>0</v>
      </c>
      <c r="M27" s="13">
        <v>0</v>
      </c>
      <c r="N27" s="13">
        <v>0</v>
      </c>
      <c r="O27" s="13">
        <v>0</v>
      </c>
      <c r="P27" s="13">
        <v>0</v>
      </c>
      <c r="Q27" s="13">
        <v>0</v>
      </c>
      <c r="R27" s="13"/>
      <c r="S27" s="13">
        <v>0</v>
      </c>
      <c r="T27" s="14">
        <v>214953</v>
      </c>
      <c r="V27" s="57"/>
      <c r="W27" s="57"/>
      <c r="AA27" s="58"/>
    </row>
    <row r="28" spans="1:27" x14ac:dyDescent="0.25">
      <c r="A28" s="12" t="s">
        <v>45</v>
      </c>
      <c r="B28" s="100" t="s">
        <v>136</v>
      </c>
      <c r="C28" s="13">
        <v>34352</v>
      </c>
      <c r="D28" s="13">
        <v>27386</v>
      </c>
      <c r="E28" s="13">
        <v>12091</v>
      </c>
      <c r="F28" s="13">
        <v>62</v>
      </c>
      <c r="G28" s="13">
        <v>0</v>
      </c>
      <c r="H28" s="13">
        <v>4786</v>
      </c>
      <c r="I28" s="13">
        <v>6509</v>
      </c>
      <c r="J28" s="13">
        <v>0</v>
      </c>
      <c r="K28" s="13">
        <v>43456</v>
      </c>
      <c r="L28" s="13">
        <v>863</v>
      </c>
      <c r="M28" s="13">
        <v>0</v>
      </c>
      <c r="N28" s="13">
        <v>1</v>
      </c>
      <c r="O28" s="13">
        <v>0</v>
      </c>
      <c r="P28" s="13">
        <v>0</v>
      </c>
      <c r="Q28" s="13">
        <v>0</v>
      </c>
      <c r="R28" s="13"/>
      <c r="S28" s="13">
        <v>0</v>
      </c>
      <c r="T28" s="14">
        <v>129506</v>
      </c>
      <c r="V28" s="57"/>
      <c r="W28" s="57"/>
      <c r="AA28" s="58"/>
    </row>
    <row r="29" spans="1:27" x14ac:dyDescent="0.25">
      <c r="A29" s="12" t="s">
        <v>46</v>
      </c>
      <c r="B29" s="100" t="s">
        <v>100</v>
      </c>
      <c r="C29" s="13">
        <v>2441</v>
      </c>
      <c r="D29" s="13">
        <v>21404</v>
      </c>
      <c r="E29" s="13">
        <v>871</v>
      </c>
      <c r="F29" s="13">
        <v>15</v>
      </c>
      <c r="G29" s="13">
        <v>0</v>
      </c>
      <c r="H29" s="13">
        <v>116533</v>
      </c>
      <c r="I29" s="13">
        <v>288</v>
      </c>
      <c r="J29" s="13">
        <v>0</v>
      </c>
      <c r="K29" s="13">
        <v>9276</v>
      </c>
      <c r="L29" s="13">
        <v>304</v>
      </c>
      <c r="M29" s="13">
        <v>0</v>
      </c>
      <c r="N29" s="13">
        <v>0</v>
      </c>
      <c r="O29" s="13">
        <v>0</v>
      </c>
      <c r="P29" s="13">
        <v>0</v>
      </c>
      <c r="Q29" s="13">
        <v>0</v>
      </c>
      <c r="R29" s="13"/>
      <c r="S29" s="13">
        <v>0</v>
      </c>
      <c r="T29" s="14">
        <v>151132</v>
      </c>
      <c r="V29" s="57"/>
      <c r="W29" s="57"/>
      <c r="AA29" s="58"/>
    </row>
    <row r="30" spans="1:27" x14ac:dyDescent="0.25">
      <c r="A30" s="12" t="s">
        <v>47</v>
      </c>
      <c r="B30" s="100" t="s">
        <v>101</v>
      </c>
      <c r="C30" s="13">
        <v>0</v>
      </c>
      <c r="D30" s="13">
        <v>-82</v>
      </c>
      <c r="E30" s="13">
        <v>0</v>
      </c>
      <c r="F30" s="13">
        <v>0</v>
      </c>
      <c r="G30" s="13">
        <v>0</v>
      </c>
      <c r="H30" s="13">
        <v>12756</v>
      </c>
      <c r="I30" s="13">
        <v>0</v>
      </c>
      <c r="J30" s="13">
        <v>0</v>
      </c>
      <c r="K30" s="13">
        <v>0</v>
      </c>
      <c r="L30" s="13">
        <v>0</v>
      </c>
      <c r="M30" s="13">
        <v>0</v>
      </c>
      <c r="N30" s="13">
        <v>0</v>
      </c>
      <c r="O30" s="13">
        <v>0</v>
      </c>
      <c r="P30" s="13">
        <v>0</v>
      </c>
      <c r="Q30" s="13">
        <v>0</v>
      </c>
      <c r="R30" s="13"/>
      <c r="S30" s="13">
        <v>0</v>
      </c>
      <c r="T30" s="14">
        <v>12674</v>
      </c>
      <c r="V30" s="57"/>
      <c r="W30" s="57"/>
      <c r="AA30" s="58"/>
    </row>
    <row r="31" spans="1:27" x14ac:dyDescent="0.25">
      <c r="A31" s="12" t="s">
        <v>48</v>
      </c>
      <c r="B31" s="100" t="s">
        <v>102</v>
      </c>
      <c r="C31" s="13">
        <v>1183</v>
      </c>
      <c r="D31" s="13">
        <v>3130</v>
      </c>
      <c r="E31" s="13">
        <v>514</v>
      </c>
      <c r="F31" s="13">
        <v>0</v>
      </c>
      <c r="G31" s="13">
        <v>0</v>
      </c>
      <c r="H31" s="13">
        <v>-153</v>
      </c>
      <c r="I31" s="13">
        <v>0</v>
      </c>
      <c r="J31" s="13">
        <v>0</v>
      </c>
      <c r="K31" s="13">
        <v>4500</v>
      </c>
      <c r="L31" s="13">
        <v>0</v>
      </c>
      <c r="M31" s="13">
        <v>0</v>
      </c>
      <c r="N31" s="13">
        <v>80</v>
      </c>
      <c r="O31" s="13">
        <v>0</v>
      </c>
      <c r="P31" s="13">
        <v>0</v>
      </c>
      <c r="Q31" s="13">
        <v>0</v>
      </c>
      <c r="R31" s="13"/>
      <c r="S31" s="13">
        <v>0</v>
      </c>
      <c r="T31" s="14">
        <v>9254</v>
      </c>
      <c r="V31" s="57"/>
      <c r="W31" s="57"/>
      <c r="AA31" s="58"/>
    </row>
    <row r="32" spans="1:27" x14ac:dyDescent="0.25">
      <c r="A32" s="15" t="s">
        <v>49</v>
      </c>
      <c r="B32" s="101" t="s">
        <v>103</v>
      </c>
      <c r="C32" s="16">
        <v>23990</v>
      </c>
      <c r="D32" s="16">
        <v>2249</v>
      </c>
      <c r="E32" s="16">
        <v>50087</v>
      </c>
      <c r="F32" s="16">
        <v>3019</v>
      </c>
      <c r="G32" s="16">
        <v>0</v>
      </c>
      <c r="H32" s="16">
        <v>17485</v>
      </c>
      <c r="I32" s="16">
        <v>489</v>
      </c>
      <c r="J32" s="16">
        <v>0</v>
      </c>
      <c r="K32" s="16">
        <v>7145</v>
      </c>
      <c r="L32" s="16">
        <v>556</v>
      </c>
      <c r="M32" s="16">
        <v>0</v>
      </c>
      <c r="N32" s="16">
        <v>49</v>
      </c>
      <c r="O32" s="16">
        <v>0</v>
      </c>
      <c r="P32" s="16">
        <v>24333</v>
      </c>
      <c r="Q32" s="16">
        <v>0</v>
      </c>
      <c r="R32" s="16"/>
      <c r="S32" s="16">
        <v>0</v>
      </c>
      <c r="T32" s="17">
        <v>129402</v>
      </c>
      <c r="V32" s="57"/>
      <c r="W32" s="57"/>
      <c r="AA32" s="58"/>
    </row>
    <row r="33" spans="1:27" x14ac:dyDescent="0.25">
      <c r="A33" s="20" t="s">
        <v>50</v>
      </c>
      <c r="B33" s="102" t="s">
        <v>104</v>
      </c>
      <c r="C33" s="21">
        <v>0</v>
      </c>
      <c r="D33" s="21">
        <v>-740</v>
      </c>
      <c r="E33" s="21">
        <v>0</v>
      </c>
      <c r="F33" s="21">
        <v>0</v>
      </c>
      <c r="G33" s="21">
        <v>117926</v>
      </c>
      <c r="H33" s="21">
        <v>-358</v>
      </c>
      <c r="I33" s="21">
        <v>0</v>
      </c>
      <c r="J33" s="21">
        <v>0</v>
      </c>
      <c r="K33" s="21">
        <v>0</v>
      </c>
      <c r="L33" s="21">
        <v>0</v>
      </c>
      <c r="M33" s="21">
        <v>2061</v>
      </c>
      <c r="N33" s="21">
        <v>0</v>
      </c>
      <c r="O33" s="21">
        <v>0</v>
      </c>
      <c r="P33" s="21">
        <v>0</v>
      </c>
      <c r="Q33" s="21">
        <v>0</v>
      </c>
      <c r="R33" s="21"/>
      <c r="S33" s="21">
        <v>0</v>
      </c>
      <c r="T33" s="22">
        <v>118889</v>
      </c>
      <c r="V33" s="57"/>
      <c r="W33" s="57"/>
      <c r="AA33" s="58"/>
    </row>
    <row r="34" spans="1:27" x14ac:dyDescent="0.25">
      <c r="A34" s="12" t="s">
        <v>51</v>
      </c>
      <c r="B34" s="100" t="s">
        <v>137</v>
      </c>
      <c r="C34" s="13">
        <v>11996</v>
      </c>
      <c r="D34" s="13">
        <v>110307</v>
      </c>
      <c r="E34" s="13">
        <v>11333</v>
      </c>
      <c r="F34" s="13">
        <v>0</v>
      </c>
      <c r="G34" s="13">
        <v>0</v>
      </c>
      <c r="H34" s="13">
        <v>38510</v>
      </c>
      <c r="I34" s="13">
        <v>2346</v>
      </c>
      <c r="J34" s="13">
        <v>0</v>
      </c>
      <c r="K34" s="13">
        <v>68305</v>
      </c>
      <c r="L34" s="13">
        <v>54</v>
      </c>
      <c r="M34" s="13">
        <v>72905</v>
      </c>
      <c r="N34" s="13">
        <v>120</v>
      </c>
      <c r="O34" s="13">
        <v>0</v>
      </c>
      <c r="P34" s="13">
        <v>0</v>
      </c>
      <c r="Q34" s="13">
        <v>0</v>
      </c>
      <c r="R34" s="13"/>
      <c r="S34" s="13">
        <v>0</v>
      </c>
      <c r="T34" s="14">
        <v>315876</v>
      </c>
      <c r="V34" s="57"/>
      <c r="W34" s="57"/>
      <c r="AA34" s="58"/>
    </row>
    <row r="35" spans="1:27" x14ac:dyDescent="0.25">
      <c r="A35" s="12" t="s">
        <v>52</v>
      </c>
      <c r="B35" s="100" t="s">
        <v>138</v>
      </c>
      <c r="C35" s="13">
        <v>8661</v>
      </c>
      <c r="D35" s="13">
        <v>92726</v>
      </c>
      <c r="E35" s="13">
        <v>4250</v>
      </c>
      <c r="F35" s="13">
        <v>32</v>
      </c>
      <c r="G35" s="13">
        <v>31012</v>
      </c>
      <c r="H35" s="13">
        <v>35832</v>
      </c>
      <c r="I35" s="13">
        <v>192</v>
      </c>
      <c r="J35" s="13">
        <v>0</v>
      </c>
      <c r="K35" s="13">
        <v>1012</v>
      </c>
      <c r="L35" s="13">
        <v>0</v>
      </c>
      <c r="M35" s="13">
        <v>0</v>
      </c>
      <c r="N35" s="13">
        <v>0</v>
      </c>
      <c r="O35" s="13">
        <v>0</v>
      </c>
      <c r="P35" s="13">
        <v>0</v>
      </c>
      <c r="Q35" s="13">
        <v>0</v>
      </c>
      <c r="R35" s="13"/>
      <c r="S35" s="13">
        <v>0</v>
      </c>
      <c r="T35" s="14">
        <v>173717</v>
      </c>
      <c r="V35" s="57"/>
      <c r="W35" s="57"/>
      <c r="AA35" s="58"/>
    </row>
    <row r="36" spans="1:27" x14ac:dyDescent="0.25">
      <c r="A36" s="12" t="s">
        <v>53</v>
      </c>
      <c r="B36" s="100" t="s">
        <v>139</v>
      </c>
      <c r="C36" s="13">
        <v>16474</v>
      </c>
      <c r="D36" s="13">
        <v>164824</v>
      </c>
      <c r="E36" s="13">
        <v>13505</v>
      </c>
      <c r="F36" s="13">
        <v>-3</v>
      </c>
      <c r="G36" s="13">
        <v>0</v>
      </c>
      <c r="H36" s="13">
        <v>182701</v>
      </c>
      <c r="I36" s="13">
        <v>1203</v>
      </c>
      <c r="J36" s="13">
        <v>0</v>
      </c>
      <c r="K36" s="13">
        <v>196821</v>
      </c>
      <c r="L36" s="13">
        <v>68</v>
      </c>
      <c r="M36" s="13">
        <v>0</v>
      </c>
      <c r="N36" s="13">
        <v>0</v>
      </c>
      <c r="O36" s="13">
        <v>0</v>
      </c>
      <c r="P36" s="13">
        <v>0</v>
      </c>
      <c r="Q36" s="13">
        <v>0</v>
      </c>
      <c r="R36" s="13"/>
      <c r="S36" s="13">
        <v>0</v>
      </c>
      <c r="T36" s="14">
        <v>575593</v>
      </c>
      <c r="V36" s="57"/>
      <c r="W36" s="57"/>
    </row>
    <row r="37" spans="1:27" x14ac:dyDescent="0.25">
      <c r="A37" s="12" t="s">
        <v>54</v>
      </c>
      <c r="B37" s="100" t="s">
        <v>140</v>
      </c>
      <c r="C37" s="13">
        <v>2082</v>
      </c>
      <c r="D37" s="13">
        <v>18254</v>
      </c>
      <c r="E37" s="13">
        <v>2293</v>
      </c>
      <c r="F37" s="13">
        <v>-11</v>
      </c>
      <c r="G37" s="13">
        <v>0</v>
      </c>
      <c r="H37" s="13">
        <v>25941</v>
      </c>
      <c r="I37" s="13">
        <v>3833</v>
      </c>
      <c r="J37" s="13">
        <v>0</v>
      </c>
      <c r="K37" s="13">
        <v>21404</v>
      </c>
      <c r="L37" s="13">
        <v>21644</v>
      </c>
      <c r="M37" s="13">
        <v>0</v>
      </c>
      <c r="N37" s="13">
        <v>0</v>
      </c>
      <c r="O37" s="13">
        <v>0</v>
      </c>
      <c r="P37" s="13">
        <v>0</v>
      </c>
      <c r="Q37" s="13">
        <v>0</v>
      </c>
      <c r="R37" s="13"/>
      <c r="S37" s="13">
        <v>0</v>
      </c>
      <c r="T37" s="14">
        <v>95440</v>
      </c>
      <c r="V37" s="57"/>
      <c r="W37" s="57"/>
    </row>
    <row r="38" spans="1:27" x14ac:dyDescent="0.25">
      <c r="A38" s="15" t="s">
        <v>55</v>
      </c>
      <c r="B38" s="101" t="s">
        <v>105</v>
      </c>
      <c r="C38" s="16">
        <v>294</v>
      </c>
      <c r="D38" s="16">
        <v>1290</v>
      </c>
      <c r="E38" s="16">
        <v>118</v>
      </c>
      <c r="F38" s="16">
        <v>0</v>
      </c>
      <c r="G38" s="16">
        <v>0</v>
      </c>
      <c r="H38" s="16">
        <v>14742</v>
      </c>
      <c r="I38" s="16">
        <v>0</v>
      </c>
      <c r="J38" s="16">
        <v>0</v>
      </c>
      <c r="K38" s="16">
        <v>1817</v>
      </c>
      <c r="L38" s="16">
        <v>0</v>
      </c>
      <c r="M38" s="16">
        <v>0</v>
      </c>
      <c r="N38" s="16">
        <v>0</v>
      </c>
      <c r="O38" s="16">
        <v>0</v>
      </c>
      <c r="P38" s="16">
        <v>4</v>
      </c>
      <c r="Q38" s="16">
        <v>0</v>
      </c>
      <c r="R38" s="16"/>
      <c r="S38" s="16">
        <v>0</v>
      </c>
      <c r="T38" s="17">
        <v>18265</v>
      </c>
      <c r="V38" s="57"/>
      <c r="W38" s="57"/>
    </row>
    <row r="39" spans="1:27" x14ac:dyDescent="0.25">
      <c r="A39" s="20" t="s">
        <v>56</v>
      </c>
      <c r="B39" s="102" t="s">
        <v>141</v>
      </c>
      <c r="C39" s="21">
        <v>8112</v>
      </c>
      <c r="D39" s="21">
        <v>72296</v>
      </c>
      <c r="E39" s="21">
        <v>20129</v>
      </c>
      <c r="F39" s="21">
        <v>0</v>
      </c>
      <c r="G39" s="21">
        <v>0</v>
      </c>
      <c r="H39" s="21">
        <v>2552</v>
      </c>
      <c r="I39" s="21">
        <v>2</v>
      </c>
      <c r="J39" s="21">
        <v>0</v>
      </c>
      <c r="K39" s="21">
        <v>90</v>
      </c>
      <c r="L39" s="21">
        <v>249566</v>
      </c>
      <c r="M39" s="21">
        <v>0</v>
      </c>
      <c r="N39" s="21">
        <v>0</v>
      </c>
      <c r="O39" s="21">
        <v>122989</v>
      </c>
      <c r="P39" s="21">
        <v>0</v>
      </c>
      <c r="Q39" s="21">
        <v>0</v>
      </c>
      <c r="R39" s="21"/>
      <c r="S39" s="21">
        <v>0</v>
      </c>
      <c r="T39" s="22">
        <v>475736</v>
      </c>
      <c r="V39" s="57"/>
      <c r="W39" s="57"/>
    </row>
    <row r="40" spans="1:27" x14ac:dyDescent="0.25">
      <c r="A40" s="12" t="s">
        <v>57</v>
      </c>
      <c r="B40" s="100" t="s">
        <v>142</v>
      </c>
      <c r="C40" s="13">
        <v>257</v>
      </c>
      <c r="D40" s="13">
        <v>2490</v>
      </c>
      <c r="E40" s="13">
        <v>263</v>
      </c>
      <c r="F40" s="13">
        <v>0</v>
      </c>
      <c r="G40" s="13">
        <v>0</v>
      </c>
      <c r="H40" s="13">
        <v>11210</v>
      </c>
      <c r="I40" s="13">
        <v>73</v>
      </c>
      <c r="J40" s="13">
        <v>0</v>
      </c>
      <c r="K40" s="13">
        <v>2853</v>
      </c>
      <c r="L40" s="13">
        <v>0</v>
      </c>
      <c r="M40" s="13">
        <v>0</v>
      </c>
      <c r="N40" s="13">
        <v>0</v>
      </c>
      <c r="O40" s="13">
        <v>0</v>
      </c>
      <c r="P40" s="13">
        <v>0</v>
      </c>
      <c r="Q40" s="13">
        <v>0</v>
      </c>
      <c r="R40" s="13"/>
      <c r="S40" s="13">
        <v>0</v>
      </c>
      <c r="T40" s="14">
        <v>17146</v>
      </c>
      <c r="V40" s="57"/>
      <c r="W40" s="57"/>
    </row>
    <row r="41" spans="1:27" x14ac:dyDescent="0.25">
      <c r="A41" s="12" t="s">
        <v>58</v>
      </c>
      <c r="B41" s="100" t="s">
        <v>143</v>
      </c>
      <c r="C41" s="13">
        <v>1909</v>
      </c>
      <c r="D41" s="13">
        <v>30871</v>
      </c>
      <c r="E41" s="13">
        <v>1748</v>
      </c>
      <c r="F41" s="13">
        <v>0</v>
      </c>
      <c r="G41" s="13">
        <v>0</v>
      </c>
      <c r="H41" s="13">
        <v>29820</v>
      </c>
      <c r="I41" s="13">
        <v>584</v>
      </c>
      <c r="J41" s="13">
        <v>0</v>
      </c>
      <c r="K41" s="13">
        <v>20893</v>
      </c>
      <c r="L41" s="13">
        <v>1547</v>
      </c>
      <c r="M41" s="13">
        <v>0</v>
      </c>
      <c r="N41" s="13">
        <v>300</v>
      </c>
      <c r="O41" s="13">
        <v>0</v>
      </c>
      <c r="P41" s="13">
        <v>0</v>
      </c>
      <c r="Q41" s="13">
        <v>0</v>
      </c>
      <c r="R41" s="13"/>
      <c r="S41" s="13">
        <v>0</v>
      </c>
      <c r="T41" s="14">
        <v>87672</v>
      </c>
      <c r="V41" s="57"/>
      <c r="W41" s="57"/>
    </row>
    <row r="42" spans="1:27" x14ac:dyDescent="0.25">
      <c r="A42" s="12" t="s">
        <v>59</v>
      </c>
      <c r="B42" s="100" t="s">
        <v>144</v>
      </c>
      <c r="C42" s="13">
        <v>4118</v>
      </c>
      <c r="D42" s="13">
        <v>38323</v>
      </c>
      <c r="E42" s="13">
        <v>7520</v>
      </c>
      <c r="F42" s="13">
        <v>0</v>
      </c>
      <c r="G42" s="13">
        <v>0</v>
      </c>
      <c r="H42" s="13">
        <v>28508.000000000004</v>
      </c>
      <c r="I42" s="13">
        <v>6322</v>
      </c>
      <c r="J42" s="13">
        <v>0</v>
      </c>
      <c r="K42" s="13">
        <v>38838</v>
      </c>
      <c r="L42" s="13">
        <v>112761</v>
      </c>
      <c r="M42" s="13">
        <v>0</v>
      </c>
      <c r="N42" s="13">
        <v>671</v>
      </c>
      <c r="O42" s="13">
        <v>0</v>
      </c>
      <c r="P42" s="13">
        <v>0</v>
      </c>
      <c r="Q42" s="13">
        <v>0</v>
      </c>
      <c r="R42" s="13"/>
      <c r="S42" s="13">
        <v>0</v>
      </c>
      <c r="T42" s="14">
        <v>237061</v>
      </c>
      <c r="V42" s="57"/>
      <c r="W42" s="57"/>
    </row>
    <row r="43" spans="1:27" x14ac:dyDescent="0.25">
      <c r="A43" s="12" t="s">
        <v>60</v>
      </c>
      <c r="B43" s="100" t="s">
        <v>145</v>
      </c>
      <c r="C43" s="13">
        <v>9012</v>
      </c>
      <c r="D43" s="13">
        <v>86046</v>
      </c>
      <c r="E43" s="13">
        <v>15475</v>
      </c>
      <c r="F43" s="13">
        <v>0</v>
      </c>
      <c r="G43" s="13">
        <v>3811</v>
      </c>
      <c r="H43" s="13">
        <v>101968</v>
      </c>
      <c r="I43" s="13">
        <v>17084</v>
      </c>
      <c r="J43" s="13">
        <v>0</v>
      </c>
      <c r="K43" s="13">
        <v>42057</v>
      </c>
      <c r="L43" s="13">
        <v>3</v>
      </c>
      <c r="M43" s="13">
        <v>0</v>
      </c>
      <c r="N43" s="13">
        <v>564</v>
      </c>
      <c r="O43" s="13">
        <v>0</v>
      </c>
      <c r="P43" s="13">
        <v>20</v>
      </c>
      <c r="Q43" s="13">
        <v>0</v>
      </c>
      <c r="R43" s="13"/>
      <c r="S43" s="13">
        <v>0</v>
      </c>
      <c r="T43" s="14">
        <v>276040</v>
      </c>
      <c r="V43" s="57"/>
      <c r="W43" s="57"/>
    </row>
    <row r="44" spans="1:27" x14ac:dyDescent="0.25">
      <c r="A44" s="12" t="s">
        <v>61</v>
      </c>
      <c r="B44" s="100" t="s">
        <v>146</v>
      </c>
      <c r="C44" s="13">
        <v>0</v>
      </c>
      <c r="D44" s="13">
        <v>-53</v>
      </c>
      <c r="E44" s="13">
        <v>0</v>
      </c>
      <c r="F44" s="13">
        <v>0</v>
      </c>
      <c r="G44" s="13">
        <v>0</v>
      </c>
      <c r="H44" s="13">
        <v>-5</v>
      </c>
      <c r="I44" s="13">
        <v>0</v>
      </c>
      <c r="J44" s="13">
        <v>0</v>
      </c>
      <c r="K44" s="13">
        <v>0</v>
      </c>
      <c r="L44" s="13">
        <v>0</v>
      </c>
      <c r="M44" s="13">
        <v>0</v>
      </c>
      <c r="N44" s="13">
        <v>0</v>
      </c>
      <c r="O44" s="13">
        <v>0</v>
      </c>
      <c r="P44" s="13">
        <v>0</v>
      </c>
      <c r="Q44" s="13">
        <v>0</v>
      </c>
      <c r="R44" s="13"/>
      <c r="S44" s="13">
        <v>0</v>
      </c>
      <c r="T44" s="14">
        <v>-58</v>
      </c>
      <c r="V44" s="57"/>
      <c r="W44" s="57"/>
    </row>
    <row r="45" spans="1:27" x14ac:dyDescent="0.25">
      <c r="A45" s="15" t="s">
        <v>62</v>
      </c>
      <c r="B45" s="101" t="s">
        <v>144</v>
      </c>
      <c r="C45" s="16">
        <v>38</v>
      </c>
      <c r="D45" s="16">
        <v>407</v>
      </c>
      <c r="E45" s="16">
        <v>14</v>
      </c>
      <c r="F45" s="16">
        <v>0</v>
      </c>
      <c r="G45" s="16">
        <v>0</v>
      </c>
      <c r="H45" s="16">
        <v>85</v>
      </c>
      <c r="I45" s="16">
        <v>3</v>
      </c>
      <c r="J45" s="16">
        <v>0</v>
      </c>
      <c r="K45" s="16">
        <v>4</v>
      </c>
      <c r="L45" s="16">
        <v>0</v>
      </c>
      <c r="M45" s="16">
        <v>0</v>
      </c>
      <c r="N45" s="16">
        <v>0</v>
      </c>
      <c r="O45" s="16">
        <v>0</v>
      </c>
      <c r="P45" s="16">
        <v>0</v>
      </c>
      <c r="Q45" s="16">
        <v>0</v>
      </c>
      <c r="R45" s="16"/>
      <c r="S45" s="16">
        <v>0</v>
      </c>
      <c r="T45" s="17">
        <v>551</v>
      </c>
      <c r="V45" s="57"/>
      <c r="W45" s="57"/>
    </row>
    <row r="46" spans="1:27" x14ac:dyDescent="0.25">
      <c r="A46" s="20" t="s">
        <v>63</v>
      </c>
      <c r="B46" s="102" t="s">
        <v>147</v>
      </c>
      <c r="C46" s="21">
        <v>2011</v>
      </c>
      <c r="D46" s="21">
        <v>18548</v>
      </c>
      <c r="E46" s="21">
        <v>3743</v>
      </c>
      <c r="F46" s="21">
        <v>0</v>
      </c>
      <c r="G46" s="21">
        <v>0</v>
      </c>
      <c r="H46" s="21">
        <v>10329</v>
      </c>
      <c r="I46" s="21">
        <v>3430</v>
      </c>
      <c r="J46" s="21">
        <v>0</v>
      </c>
      <c r="K46" s="21">
        <v>9317</v>
      </c>
      <c r="L46" s="21">
        <v>0</v>
      </c>
      <c r="M46" s="21">
        <v>0</v>
      </c>
      <c r="N46" s="21">
        <v>28</v>
      </c>
      <c r="O46" s="21">
        <v>0</v>
      </c>
      <c r="P46" s="21">
        <v>0</v>
      </c>
      <c r="Q46" s="21">
        <v>0</v>
      </c>
      <c r="R46" s="21"/>
      <c r="S46" s="21">
        <v>0</v>
      </c>
      <c r="T46" s="22">
        <v>47406</v>
      </c>
      <c r="V46" s="57"/>
      <c r="W46" s="57"/>
    </row>
    <row r="47" spans="1:27" x14ac:dyDescent="0.25">
      <c r="A47" s="12" t="s">
        <v>64</v>
      </c>
      <c r="B47" s="100" t="s">
        <v>148</v>
      </c>
      <c r="C47" s="13">
        <v>1437</v>
      </c>
      <c r="D47" s="13">
        <v>10913</v>
      </c>
      <c r="E47" s="13">
        <v>3380</v>
      </c>
      <c r="F47" s="13">
        <v>26</v>
      </c>
      <c r="G47" s="13">
        <v>0</v>
      </c>
      <c r="H47" s="13">
        <v>26719</v>
      </c>
      <c r="I47" s="13">
        <v>8719</v>
      </c>
      <c r="J47" s="13">
        <v>417</v>
      </c>
      <c r="K47" s="13">
        <v>17450</v>
      </c>
      <c r="L47" s="13">
        <v>6034</v>
      </c>
      <c r="M47" s="13">
        <v>0</v>
      </c>
      <c r="N47" s="13">
        <v>9707</v>
      </c>
      <c r="O47" s="13">
        <v>0</v>
      </c>
      <c r="P47" s="13">
        <v>11451</v>
      </c>
      <c r="Q47" s="13">
        <v>0</v>
      </c>
      <c r="R47" s="13"/>
      <c r="S47" s="13">
        <v>0</v>
      </c>
      <c r="T47" s="14">
        <v>96253</v>
      </c>
      <c r="V47" s="57"/>
      <c r="W47" s="57"/>
    </row>
    <row r="48" spans="1:27" x14ac:dyDescent="0.25">
      <c r="A48" s="12" t="s">
        <v>65</v>
      </c>
      <c r="B48" s="100" t="s">
        <v>106</v>
      </c>
      <c r="C48" s="13">
        <v>5066</v>
      </c>
      <c r="D48" s="13">
        <v>47363</v>
      </c>
      <c r="E48" s="13">
        <v>3308</v>
      </c>
      <c r="F48" s="13">
        <v>6</v>
      </c>
      <c r="G48" s="13">
        <v>0</v>
      </c>
      <c r="H48" s="13">
        <v>57028</v>
      </c>
      <c r="I48" s="13">
        <v>15909</v>
      </c>
      <c r="J48" s="13">
        <v>6</v>
      </c>
      <c r="K48" s="13">
        <v>6790</v>
      </c>
      <c r="L48" s="13">
        <v>30647</v>
      </c>
      <c r="M48" s="13">
        <v>0</v>
      </c>
      <c r="N48" s="13">
        <v>16838</v>
      </c>
      <c r="O48" s="13">
        <v>0</v>
      </c>
      <c r="P48" s="13">
        <v>414</v>
      </c>
      <c r="Q48" s="13">
        <v>0</v>
      </c>
      <c r="R48" s="13"/>
      <c r="S48" s="13">
        <v>0</v>
      </c>
      <c r="T48" s="14">
        <v>183375</v>
      </c>
      <c r="V48" s="57"/>
      <c r="W48" s="57"/>
    </row>
    <row r="49" spans="1:39" x14ac:dyDescent="0.25">
      <c r="A49" s="12" t="s">
        <v>66</v>
      </c>
      <c r="B49" s="100" t="s">
        <v>107</v>
      </c>
      <c r="C49" s="13">
        <v>144</v>
      </c>
      <c r="D49" s="13">
        <v>1601</v>
      </c>
      <c r="E49" s="13">
        <v>52</v>
      </c>
      <c r="F49" s="13">
        <v>0</v>
      </c>
      <c r="G49" s="13">
        <v>0</v>
      </c>
      <c r="H49" s="13">
        <v>1283</v>
      </c>
      <c r="I49" s="13">
        <v>333</v>
      </c>
      <c r="J49" s="13">
        <v>0</v>
      </c>
      <c r="K49" s="13">
        <v>537</v>
      </c>
      <c r="L49" s="13">
        <v>0</v>
      </c>
      <c r="M49" s="13">
        <v>0</v>
      </c>
      <c r="N49" s="13">
        <v>0</v>
      </c>
      <c r="O49" s="13">
        <v>3904</v>
      </c>
      <c r="P49" s="13">
        <v>0</v>
      </c>
      <c r="Q49" s="13">
        <v>0</v>
      </c>
      <c r="R49" s="13"/>
      <c r="S49" s="13">
        <v>0</v>
      </c>
      <c r="T49" s="14">
        <v>7854</v>
      </c>
      <c r="V49" s="57"/>
      <c r="W49" s="57"/>
    </row>
    <row r="50" spans="1:39" x14ac:dyDescent="0.25">
      <c r="A50" s="15" t="s">
        <v>67</v>
      </c>
      <c r="B50" s="101" t="s">
        <v>108</v>
      </c>
      <c r="C50" s="16">
        <v>439</v>
      </c>
      <c r="D50" s="16">
        <v>4520</v>
      </c>
      <c r="E50" s="16">
        <v>200</v>
      </c>
      <c r="F50" s="16">
        <v>81</v>
      </c>
      <c r="G50" s="16">
        <v>0</v>
      </c>
      <c r="H50" s="16">
        <v>2476</v>
      </c>
      <c r="I50" s="16">
        <v>5</v>
      </c>
      <c r="J50" s="16">
        <v>0</v>
      </c>
      <c r="K50" s="16">
        <v>925</v>
      </c>
      <c r="L50" s="16">
        <v>0</v>
      </c>
      <c r="M50" s="16">
        <v>0</v>
      </c>
      <c r="N50" s="16">
        <v>0</v>
      </c>
      <c r="O50" s="16">
        <v>0</v>
      </c>
      <c r="P50" s="16">
        <v>0</v>
      </c>
      <c r="Q50" s="16">
        <v>0</v>
      </c>
      <c r="R50" s="16"/>
      <c r="S50" s="16">
        <v>0</v>
      </c>
      <c r="T50" s="17">
        <v>8646</v>
      </c>
      <c r="V50" s="57"/>
      <c r="W50" s="57"/>
    </row>
    <row r="51" spans="1:39" x14ac:dyDescent="0.25">
      <c r="A51" s="20" t="s">
        <v>68</v>
      </c>
      <c r="B51" s="102" t="s">
        <v>149</v>
      </c>
      <c r="C51" s="21">
        <v>641</v>
      </c>
      <c r="D51" s="21">
        <v>5694</v>
      </c>
      <c r="E51" s="21">
        <v>261</v>
      </c>
      <c r="F51" s="21">
        <v>0</v>
      </c>
      <c r="G51" s="21">
        <v>0</v>
      </c>
      <c r="H51" s="21">
        <v>3004</v>
      </c>
      <c r="I51" s="21">
        <v>280</v>
      </c>
      <c r="J51" s="21">
        <v>0</v>
      </c>
      <c r="K51" s="21">
        <v>854</v>
      </c>
      <c r="L51" s="21">
        <v>0</v>
      </c>
      <c r="M51" s="21">
        <v>0</v>
      </c>
      <c r="N51" s="21">
        <v>0</v>
      </c>
      <c r="O51" s="21">
        <v>0</v>
      </c>
      <c r="P51" s="21">
        <v>0</v>
      </c>
      <c r="Q51" s="21">
        <v>0</v>
      </c>
      <c r="R51" s="21"/>
      <c r="S51" s="21">
        <v>0</v>
      </c>
      <c r="T51" s="22">
        <v>10734</v>
      </c>
      <c r="V51" s="57"/>
      <c r="W51" s="57"/>
    </row>
    <row r="52" spans="1:39" x14ac:dyDescent="0.25">
      <c r="A52" s="23" t="s">
        <v>69</v>
      </c>
      <c r="B52" s="100" t="s">
        <v>150</v>
      </c>
      <c r="C52" s="21">
        <v>37</v>
      </c>
      <c r="D52" s="21">
        <v>330</v>
      </c>
      <c r="E52" s="21">
        <v>245</v>
      </c>
      <c r="F52" s="21">
        <v>0</v>
      </c>
      <c r="G52" s="21">
        <v>0</v>
      </c>
      <c r="H52" s="21">
        <v>12896</v>
      </c>
      <c r="I52" s="21">
        <v>0</v>
      </c>
      <c r="J52" s="21">
        <v>0</v>
      </c>
      <c r="K52" s="21">
        <v>0</v>
      </c>
      <c r="L52" s="21">
        <v>0</v>
      </c>
      <c r="M52" s="21">
        <v>0</v>
      </c>
      <c r="N52" s="21">
        <v>0</v>
      </c>
      <c r="O52" s="21">
        <v>0</v>
      </c>
      <c r="P52" s="21">
        <v>0</v>
      </c>
      <c r="Q52" s="21">
        <v>0</v>
      </c>
      <c r="R52" s="21"/>
      <c r="S52" s="21">
        <v>0</v>
      </c>
      <c r="T52" s="14">
        <v>13508</v>
      </c>
      <c r="V52" s="57"/>
      <c r="W52" s="57"/>
    </row>
    <row r="53" spans="1:39" x14ac:dyDescent="0.25">
      <c r="A53" s="12" t="s">
        <v>70</v>
      </c>
      <c r="B53" s="100" t="s">
        <v>151</v>
      </c>
      <c r="C53" s="13">
        <v>74</v>
      </c>
      <c r="D53" s="13">
        <v>430</v>
      </c>
      <c r="E53" s="13">
        <v>273</v>
      </c>
      <c r="F53" s="13">
        <v>0</v>
      </c>
      <c r="G53" s="13">
        <v>0</v>
      </c>
      <c r="H53" s="13">
        <v>2913</v>
      </c>
      <c r="I53" s="13">
        <v>0</v>
      </c>
      <c r="J53" s="13">
        <v>0</v>
      </c>
      <c r="K53" s="13">
        <v>4208</v>
      </c>
      <c r="L53" s="13">
        <v>0</v>
      </c>
      <c r="M53" s="13">
        <v>0</v>
      </c>
      <c r="N53" s="13">
        <v>500</v>
      </c>
      <c r="O53" s="13">
        <v>0</v>
      </c>
      <c r="P53" s="13">
        <v>0</v>
      </c>
      <c r="Q53" s="13">
        <v>0</v>
      </c>
      <c r="R53" s="13"/>
      <c r="S53" s="13">
        <v>0</v>
      </c>
      <c r="T53" s="14">
        <v>8398</v>
      </c>
      <c r="V53" s="57"/>
      <c r="W53" s="57"/>
    </row>
    <row r="54" spans="1:39" x14ac:dyDescent="0.25">
      <c r="A54" s="24" t="s">
        <v>71</v>
      </c>
      <c r="B54" s="100" t="s">
        <v>152</v>
      </c>
      <c r="C54" s="25">
        <v>23</v>
      </c>
      <c r="D54" s="25">
        <v>-1089</v>
      </c>
      <c r="E54" s="25">
        <v>1345</v>
      </c>
      <c r="F54" s="25">
        <v>0</v>
      </c>
      <c r="G54" s="25">
        <v>0</v>
      </c>
      <c r="H54" s="25">
        <v>263</v>
      </c>
      <c r="I54" s="25">
        <v>0</v>
      </c>
      <c r="J54" s="25">
        <v>0</v>
      </c>
      <c r="K54" s="25">
        <v>212</v>
      </c>
      <c r="L54" s="25">
        <v>0</v>
      </c>
      <c r="M54" s="25">
        <v>0</v>
      </c>
      <c r="N54" s="25">
        <v>0</v>
      </c>
      <c r="O54" s="25">
        <v>0</v>
      </c>
      <c r="P54" s="25">
        <v>0</v>
      </c>
      <c r="Q54" s="25">
        <v>0</v>
      </c>
      <c r="R54" s="25"/>
      <c r="S54" s="25">
        <v>0</v>
      </c>
      <c r="T54" s="14">
        <v>754</v>
      </c>
      <c r="V54" s="57"/>
      <c r="W54" s="57"/>
    </row>
    <row r="55" spans="1:39" x14ac:dyDescent="0.25">
      <c r="A55" s="15" t="s">
        <v>72</v>
      </c>
      <c r="B55" s="101" t="s">
        <v>109</v>
      </c>
      <c r="C55" s="16">
        <v>1007</v>
      </c>
      <c r="D55" s="16">
        <v>8024</v>
      </c>
      <c r="E55" s="16">
        <v>1278</v>
      </c>
      <c r="F55" s="16">
        <v>0</v>
      </c>
      <c r="G55" s="16">
        <v>0</v>
      </c>
      <c r="H55" s="16">
        <v>3392</v>
      </c>
      <c r="I55" s="16">
        <v>107</v>
      </c>
      <c r="J55" s="16">
        <v>0</v>
      </c>
      <c r="K55" s="16">
        <v>1900</v>
      </c>
      <c r="L55" s="16">
        <v>0</v>
      </c>
      <c r="M55" s="16">
        <v>0</v>
      </c>
      <c r="N55" s="16">
        <v>0</v>
      </c>
      <c r="O55" s="16">
        <v>0</v>
      </c>
      <c r="P55" s="16">
        <v>0</v>
      </c>
      <c r="Q55" s="16">
        <v>0</v>
      </c>
      <c r="R55" s="16"/>
      <c r="S55" s="16">
        <v>0</v>
      </c>
      <c r="T55" s="17">
        <v>15708</v>
      </c>
      <c r="V55" s="57"/>
      <c r="W55" s="57"/>
    </row>
    <row r="56" spans="1:39" x14ac:dyDescent="0.25">
      <c r="A56" s="20" t="s">
        <v>73</v>
      </c>
      <c r="B56" s="102" t="s">
        <v>110</v>
      </c>
      <c r="C56" s="21">
        <v>6110</v>
      </c>
      <c r="D56" s="21">
        <v>56667</v>
      </c>
      <c r="E56" s="21">
        <v>6460</v>
      </c>
      <c r="F56" s="21">
        <v>0</v>
      </c>
      <c r="G56" s="21">
        <v>0</v>
      </c>
      <c r="H56" s="21">
        <v>39023</v>
      </c>
      <c r="I56" s="21">
        <v>5096</v>
      </c>
      <c r="J56" s="21">
        <v>0</v>
      </c>
      <c r="K56" s="21">
        <v>16083</v>
      </c>
      <c r="L56" s="21">
        <v>906</v>
      </c>
      <c r="M56" s="21">
        <v>0</v>
      </c>
      <c r="N56" s="21">
        <v>0</v>
      </c>
      <c r="O56" s="21">
        <v>0</v>
      </c>
      <c r="P56" s="21">
        <v>0</v>
      </c>
      <c r="Q56" s="21">
        <v>0</v>
      </c>
      <c r="R56" s="21"/>
      <c r="S56" s="21">
        <v>0</v>
      </c>
      <c r="T56" s="22">
        <v>130345</v>
      </c>
      <c r="V56" s="57"/>
      <c r="W56" s="57"/>
    </row>
    <row r="57" spans="1:39" x14ac:dyDescent="0.25">
      <c r="A57" s="15" t="s">
        <v>74</v>
      </c>
      <c r="B57" s="101" t="s">
        <v>111</v>
      </c>
      <c r="C57" s="16">
        <v>895</v>
      </c>
      <c r="D57" s="16">
        <v>8608</v>
      </c>
      <c r="E57" s="16">
        <v>1068</v>
      </c>
      <c r="F57" s="16">
        <v>0</v>
      </c>
      <c r="G57" s="16">
        <v>0</v>
      </c>
      <c r="H57" s="16">
        <v>7269</v>
      </c>
      <c r="I57" s="16">
        <v>595</v>
      </c>
      <c r="J57" s="16">
        <v>0</v>
      </c>
      <c r="K57" s="16">
        <v>17424</v>
      </c>
      <c r="L57" s="16">
        <v>40369</v>
      </c>
      <c r="M57" s="16">
        <v>0</v>
      </c>
      <c r="N57" s="16">
        <v>374</v>
      </c>
      <c r="O57" s="16">
        <v>0</v>
      </c>
      <c r="P57" s="16">
        <v>0</v>
      </c>
      <c r="Q57" s="16">
        <v>0</v>
      </c>
      <c r="R57" s="16"/>
      <c r="S57" s="16">
        <v>0</v>
      </c>
      <c r="T57" s="17">
        <v>76602</v>
      </c>
      <c r="V57" s="57"/>
      <c r="W57" s="57"/>
    </row>
    <row r="58" spans="1:39" x14ac:dyDescent="0.25">
      <c r="A58" s="20" t="s">
        <v>75</v>
      </c>
      <c r="B58" s="102" t="s">
        <v>112</v>
      </c>
      <c r="C58" s="21">
        <v>1970</v>
      </c>
      <c r="D58" s="21">
        <v>18089</v>
      </c>
      <c r="E58" s="21">
        <v>2050</v>
      </c>
      <c r="F58" s="21">
        <v>0</v>
      </c>
      <c r="G58" s="21">
        <v>0</v>
      </c>
      <c r="H58" s="21">
        <v>15495</v>
      </c>
      <c r="I58" s="21">
        <v>971</v>
      </c>
      <c r="J58" s="21">
        <v>0</v>
      </c>
      <c r="K58" s="21">
        <v>3700</v>
      </c>
      <c r="L58" s="21">
        <v>300</v>
      </c>
      <c r="M58" s="21">
        <v>0</v>
      </c>
      <c r="N58" s="21">
        <v>0</v>
      </c>
      <c r="O58" s="21">
        <v>0</v>
      </c>
      <c r="P58" s="21">
        <v>0</v>
      </c>
      <c r="Q58" s="21">
        <v>0</v>
      </c>
      <c r="R58" s="21"/>
      <c r="S58" s="21">
        <v>0</v>
      </c>
      <c r="T58" s="22">
        <v>42575</v>
      </c>
      <c r="V58" s="57"/>
      <c r="W58" s="57"/>
    </row>
    <row r="59" spans="1:39" x14ac:dyDescent="0.25">
      <c r="A59" s="15" t="s">
        <v>76</v>
      </c>
      <c r="B59" s="101" t="s">
        <v>113</v>
      </c>
      <c r="C59" s="16">
        <v>826</v>
      </c>
      <c r="D59" s="16">
        <v>32911</v>
      </c>
      <c r="E59" s="16">
        <v>2188</v>
      </c>
      <c r="F59" s="16">
        <v>0</v>
      </c>
      <c r="G59" s="16">
        <v>0</v>
      </c>
      <c r="H59" s="16">
        <v>-36014.999999999971</v>
      </c>
      <c r="I59" s="16">
        <v>10715</v>
      </c>
      <c r="J59" s="16">
        <v>0</v>
      </c>
      <c r="K59" s="16">
        <v>0</v>
      </c>
      <c r="L59" s="16">
        <v>0</v>
      </c>
      <c r="M59" s="16">
        <v>0</v>
      </c>
      <c r="N59" s="16">
        <v>0</v>
      </c>
      <c r="O59" s="16">
        <v>0</v>
      </c>
      <c r="P59" s="16">
        <v>4857</v>
      </c>
      <c r="Q59" s="16">
        <v>0</v>
      </c>
      <c r="R59" s="16"/>
      <c r="S59" s="16">
        <v>0</v>
      </c>
      <c r="T59" s="17">
        <v>15482.000000000029</v>
      </c>
      <c r="V59" s="57"/>
      <c r="W59" s="57"/>
    </row>
    <row r="60" spans="1:39" x14ac:dyDescent="0.25">
      <c r="A60" s="20" t="s">
        <v>77</v>
      </c>
      <c r="B60" s="102" t="s">
        <v>153</v>
      </c>
      <c r="C60" s="21">
        <v>7268</v>
      </c>
      <c r="D60" s="21">
        <v>45919</v>
      </c>
      <c r="E60" s="21">
        <v>1050</v>
      </c>
      <c r="F60" s="21">
        <v>214</v>
      </c>
      <c r="G60" s="21">
        <v>0</v>
      </c>
      <c r="H60" s="21">
        <v>91450</v>
      </c>
      <c r="I60" s="21">
        <v>204591</v>
      </c>
      <c r="J60" s="21">
        <v>0</v>
      </c>
      <c r="K60" s="21">
        <v>43556</v>
      </c>
      <c r="L60" s="21">
        <v>1503</v>
      </c>
      <c r="M60" s="21">
        <v>0</v>
      </c>
      <c r="N60" s="21">
        <v>0</v>
      </c>
      <c r="O60" s="21">
        <v>0</v>
      </c>
      <c r="P60" s="21">
        <v>0</v>
      </c>
      <c r="Q60" s="21">
        <v>0</v>
      </c>
      <c r="R60" s="21"/>
      <c r="S60" s="21">
        <v>0</v>
      </c>
      <c r="T60" s="22">
        <v>395551</v>
      </c>
      <c r="V60" s="57"/>
      <c r="W60" s="57"/>
    </row>
    <row r="61" spans="1:39" x14ac:dyDescent="0.25">
      <c r="A61" s="12" t="s">
        <v>78</v>
      </c>
      <c r="B61" s="100" t="s">
        <v>154</v>
      </c>
      <c r="C61" s="13">
        <v>2297</v>
      </c>
      <c r="D61" s="13">
        <v>12407</v>
      </c>
      <c r="E61" s="13">
        <v>2305</v>
      </c>
      <c r="F61" s="13">
        <v>33</v>
      </c>
      <c r="G61" s="13">
        <v>0</v>
      </c>
      <c r="H61" s="13">
        <v>18865</v>
      </c>
      <c r="I61" s="13">
        <v>2907</v>
      </c>
      <c r="J61" s="13">
        <v>0</v>
      </c>
      <c r="K61" s="13">
        <v>1998</v>
      </c>
      <c r="L61" s="13">
        <v>0</v>
      </c>
      <c r="M61" s="13">
        <v>0</v>
      </c>
      <c r="N61" s="13">
        <v>0</v>
      </c>
      <c r="O61" s="13">
        <v>0</v>
      </c>
      <c r="P61" s="13">
        <v>0</v>
      </c>
      <c r="Q61" s="13">
        <v>0</v>
      </c>
      <c r="R61" s="13"/>
      <c r="S61" s="13">
        <v>0</v>
      </c>
      <c r="T61" s="14">
        <v>40812</v>
      </c>
      <c r="V61" s="57"/>
      <c r="W61" s="57"/>
    </row>
    <row r="62" spans="1:39" x14ac:dyDescent="0.25">
      <c r="A62" s="12" t="s">
        <v>79</v>
      </c>
      <c r="B62" s="100" t="s">
        <v>155</v>
      </c>
      <c r="C62" s="13">
        <v>808</v>
      </c>
      <c r="D62" s="13">
        <v>4673</v>
      </c>
      <c r="E62" s="13">
        <v>17</v>
      </c>
      <c r="F62" s="13">
        <v>23</v>
      </c>
      <c r="G62" s="13">
        <v>0</v>
      </c>
      <c r="H62" s="13">
        <v>9633</v>
      </c>
      <c r="I62" s="13">
        <v>7267</v>
      </c>
      <c r="J62" s="13">
        <v>0</v>
      </c>
      <c r="K62" s="13">
        <v>0</v>
      </c>
      <c r="L62" s="13">
        <v>77</v>
      </c>
      <c r="M62" s="13">
        <v>0</v>
      </c>
      <c r="N62" s="13">
        <v>0</v>
      </c>
      <c r="O62" s="13">
        <v>1652</v>
      </c>
      <c r="P62" s="13">
        <v>0</v>
      </c>
      <c r="Q62" s="13">
        <v>0</v>
      </c>
      <c r="R62" s="13"/>
      <c r="S62" s="13">
        <v>0</v>
      </c>
      <c r="T62" s="14">
        <v>24150</v>
      </c>
      <c r="V62" s="57"/>
      <c r="W62" s="57"/>
      <c r="Y62" s="59" t="s">
        <v>1</v>
      </c>
      <c r="Z62" s="59" t="s">
        <v>1</v>
      </c>
    </row>
    <row r="63" spans="1:39" x14ac:dyDescent="0.25">
      <c r="A63" s="12" t="s">
        <v>80</v>
      </c>
      <c r="B63" s="100" t="s">
        <v>156</v>
      </c>
      <c r="C63" s="13">
        <v>0</v>
      </c>
      <c r="D63" s="13">
        <v>1427</v>
      </c>
      <c r="E63" s="13">
        <v>0</v>
      </c>
      <c r="F63" s="13">
        <v>0</v>
      </c>
      <c r="G63" s="13">
        <v>0</v>
      </c>
      <c r="H63" s="13">
        <v>4119</v>
      </c>
      <c r="I63" s="13">
        <v>53387</v>
      </c>
      <c r="J63" s="13">
        <v>0</v>
      </c>
      <c r="K63" s="13">
        <v>0</v>
      </c>
      <c r="L63" s="13">
        <v>0</v>
      </c>
      <c r="M63" s="13">
        <v>0</v>
      </c>
      <c r="N63" s="13">
        <v>0</v>
      </c>
      <c r="O63" s="13">
        <v>0</v>
      </c>
      <c r="P63" s="13">
        <v>0</v>
      </c>
      <c r="Q63" s="13">
        <v>0</v>
      </c>
      <c r="R63" s="13"/>
      <c r="S63" s="13">
        <v>0</v>
      </c>
      <c r="T63" s="14">
        <v>58933</v>
      </c>
      <c r="V63" s="57"/>
      <c r="W63" s="57"/>
    </row>
    <row r="64" spans="1:39" x14ac:dyDescent="0.25">
      <c r="A64" s="12" t="s">
        <v>81</v>
      </c>
      <c r="B64" s="100" t="s">
        <v>157</v>
      </c>
      <c r="C64" s="13">
        <v>10440</v>
      </c>
      <c r="D64" s="13">
        <v>71274</v>
      </c>
      <c r="E64" s="13">
        <v>12426</v>
      </c>
      <c r="F64" s="13">
        <v>124</v>
      </c>
      <c r="G64" s="13">
        <v>4636</v>
      </c>
      <c r="H64" s="13">
        <v>296887</v>
      </c>
      <c r="I64" s="13">
        <v>40237</v>
      </c>
      <c r="J64" s="13">
        <v>0</v>
      </c>
      <c r="K64" s="13">
        <v>0</v>
      </c>
      <c r="L64" s="13">
        <v>10537</v>
      </c>
      <c r="M64" s="13">
        <v>0</v>
      </c>
      <c r="N64" s="13">
        <v>0</v>
      </c>
      <c r="O64" s="13">
        <v>0</v>
      </c>
      <c r="P64" s="13">
        <v>0</v>
      </c>
      <c r="Q64" s="13">
        <v>0</v>
      </c>
      <c r="R64" s="13"/>
      <c r="S64" s="13">
        <v>0</v>
      </c>
      <c r="T64" s="14">
        <v>446561</v>
      </c>
      <c r="V64" s="57"/>
      <c r="W64" s="57"/>
      <c r="X64" s="1"/>
      <c r="Y64" s="1"/>
      <c r="Z64" s="1"/>
      <c r="AA64" s="1"/>
      <c r="AB64" s="1"/>
      <c r="AC64" s="1"/>
      <c r="AD64" s="1"/>
      <c r="AE64" s="1"/>
      <c r="AF64" s="1"/>
      <c r="AG64" s="1"/>
      <c r="AH64" s="1"/>
      <c r="AI64" s="1"/>
      <c r="AJ64" s="1"/>
      <c r="AK64" s="1"/>
      <c r="AL64" s="1"/>
      <c r="AM64" s="1"/>
    </row>
    <row r="65" spans="1:39" x14ac:dyDescent="0.25">
      <c r="A65" s="12" t="s">
        <v>82</v>
      </c>
      <c r="B65" s="100" t="s">
        <v>158</v>
      </c>
      <c r="C65" s="13">
        <v>0</v>
      </c>
      <c r="D65" s="13">
        <v>298</v>
      </c>
      <c r="E65" s="13">
        <v>0</v>
      </c>
      <c r="F65" s="13">
        <v>0</v>
      </c>
      <c r="G65" s="13">
        <v>0</v>
      </c>
      <c r="H65" s="13">
        <v>-42</v>
      </c>
      <c r="I65" s="13">
        <v>7753</v>
      </c>
      <c r="J65" s="13">
        <v>0</v>
      </c>
      <c r="K65" s="13">
        <v>0</v>
      </c>
      <c r="L65" s="13">
        <v>0</v>
      </c>
      <c r="M65" s="13">
        <v>0</v>
      </c>
      <c r="N65" s="13">
        <v>0</v>
      </c>
      <c r="O65" s="13">
        <v>0</v>
      </c>
      <c r="P65" s="13">
        <v>0</v>
      </c>
      <c r="Q65" s="13">
        <v>0</v>
      </c>
      <c r="R65" s="13"/>
      <c r="S65" s="13">
        <v>0</v>
      </c>
      <c r="T65" s="14">
        <v>8009</v>
      </c>
      <c r="V65" s="57"/>
      <c r="W65" s="57"/>
    </row>
    <row r="66" spans="1:39" x14ac:dyDescent="0.25">
      <c r="A66" s="15" t="s">
        <v>83</v>
      </c>
      <c r="B66" s="101" t="s">
        <v>114</v>
      </c>
      <c r="C66" s="16">
        <v>1923</v>
      </c>
      <c r="D66" s="16">
        <v>14097</v>
      </c>
      <c r="E66" s="16">
        <v>611</v>
      </c>
      <c r="F66" s="16">
        <v>2</v>
      </c>
      <c r="G66" s="16">
        <v>0</v>
      </c>
      <c r="H66" s="16">
        <v>13696</v>
      </c>
      <c r="I66" s="16">
        <v>10753</v>
      </c>
      <c r="J66" s="16">
        <v>0</v>
      </c>
      <c r="K66" s="16">
        <v>1545</v>
      </c>
      <c r="L66" s="16">
        <v>0</v>
      </c>
      <c r="M66" s="16">
        <v>0</v>
      </c>
      <c r="N66" s="16">
        <v>0</v>
      </c>
      <c r="O66" s="16">
        <v>0</v>
      </c>
      <c r="P66" s="16">
        <v>6</v>
      </c>
      <c r="Q66" s="16">
        <v>0</v>
      </c>
      <c r="R66" s="16"/>
      <c r="S66" s="16">
        <v>0</v>
      </c>
      <c r="T66" s="17">
        <v>42633</v>
      </c>
      <c r="V66" s="57"/>
      <c r="W66" s="57"/>
    </row>
    <row r="67" spans="1:39" x14ac:dyDescent="0.25">
      <c r="A67" s="20" t="s">
        <v>84</v>
      </c>
      <c r="B67" s="102" t="s">
        <v>115</v>
      </c>
      <c r="C67" s="21">
        <v>820</v>
      </c>
      <c r="D67" s="21">
        <v>8135</v>
      </c>
      <c r="E67" s="21">
        <v>855</v>
      </c>
      <c r="F67" s="21">
        <v>0</v>
      </c>
      <c r="G67" s="21">
        <v>0</v>
      </c>
      <c r="H67" s="21">
        <v>42087</v>
      </c>
      <c r="I67" s="21">
        <v>494</v>
      </c>
      <c r="J67" s="21">
        <v>0</v>
      </c>
      <c r="K67" s="21">
        <v>6663</v>
      </c>
      <c r="L67" s="21">
        <v>0</v>
      </c>
      <c r="M67" s="21">
        <v>0</v>
      </c>
      <c r="N67" s="21">
        <v>4585</v>
      </c>
      <c r="O67" s="21">
        <v>0</v>
      </c>
      <c r="P67" s="21">
        <v>0</v>
      </c>
      <c r="Q67" s="21">
        <v>0</v>
      </c>
      <c r="R67" s="21"/>
      <c r="S67" s="21">
        <v>0</v>
      </c>
      <c r="T67" s="22">
        <v>63639</v>
      </c>
      <c r="V67" s="57"/>
      <c r="W67" s="57"/>
    </row>
    <row r="68" spans="1:39" x14ac:dyDescent="0.25">
      <c r="A68" s="12" t="s">
        <v>85</v>
      </c>
      <c r="B68" s="100" t="s">
        <v>159</v>
      </c>
      <c r="C68" s="13">
        <v>3983</v>
      </c>
      <c r="D68" s="13">
        <v>29502</v>
      </c>
      <c r="E68" s="13">
        <v>6810</v>
      </c>
      <c r="F68" s="13">
        <v>0</v>
      </c>
      <c r="G68" s="13">
        <v>0</v>
      </c>
      <c r="H68" s="13">
        <v>18513</v>
      </c>
      <c r="I68" s="13">
        <v>1362</v>
      </c>
      <c r="J68" s="13">
        <v>0</v>
      </c>
      <c r="K68" s="13">
        <v>3041</v>
      </c>
      <c r="L68" s="13">
        <v>0</v>
      </c>
      <c r="M68" s="13">
        <v>0</v>
      </c>
      <c r="N68" s="13">
        <v>0</v>
      </c>
      <c r="O68" s="13">
        <v>0</v>
      </c>
      <c r="P68" s="13">
        <v>0</v>
      </c>
      <c r="Q68" s="13">
        <v>0</v>
      </c>
      <c r="R68" s="13"/>
      <c r="S68" s="13">
        <v>0</v>
      </c>
      <c r="T68" s="14">
        <v>63211</v>
      </c>
      <c r="V68" s="57"/>
      <c r="W68" s="57"/>
    </row>
    <row r="69" spans="1:39" x14ac:dyDescent="0.25">
      <c r="A69" s="15" t="s">
        <v>86</v>
      </c>
      <c r="B69" s="101" t="s">
        <v>160</v>
      </c>
      <c r="C69" s="16">
        <v>4150</v>
      </c>
      <c r="D69" s="16">
        <v>38912</v>
      </c>
      <c r="E69" s="16">
        <v>4852</v>
      </c>
      <c r="F69" s="16">
        <v>2831</v>
      </c>
      <c r="G69" s="16">
        <v>0</v>
      </c>
      <c r="H69" s="16">
        <v>18629</v>
      </c>
      <c r="I69" s="16">
        <v>8957</v>
      </c>
      <c r="J69" s="16">
        <v>0</v>
      </c>
      <c r="K69" s="16">
        <v>16639</v>
      </c>
      <c r="L69" s="16">
        <v>16616</v>
      </c>
      <c r="M69" s="16">
        <v>0</v>
      </c>
      <c r="N69" s="16">
        <v>3332</v>
      </c>
      <c r="O69" s="16">
        <v>0</v>
      </c>
      <c r="P69" s="16">
        <v>232</v>
      </c>
      <c r="Q69" s="16">
        <v>0</v>
      </c>
      <c r="R69" s="16"/>
      <c r="S69" s="16">
        <v>0</v>
      </c>
      <c r="T69" s="17">
        <v>115150</v>
      </c>
      <c r="V69" s="57"/>
      <c r="W69" s="57"/>
      <c r="X69" s="60"/>
      <c r="Y69" s="60"/>
      <c r="Z69" s="60"/>
      <c r="AA69" s="60"/>
      <c r="AB69" s="60"/>
      <c r="AC69" s="60"/>
      <c r="AD69" s="60"/>
      <c r="AE69" s="60"/>
      <c r="AF69" s="60"/>
      <c r="AG69" s="60"/>
      <c r="AH69" s="60"/>
      <c r="AI69" s="60"/>
      <c r="AJ69" s="60"/>
      <c r="AK69" s="60"/>
      <c r="AL69" s="60"/>
      <c r="AM69" s="60"/>
    </row>
    <row r="70" spans="1:39" x14ac:dyDescent="0.25">
      <c r="A70" s="20" t="s">
        <v>87</v>
      </c>
      <c r="B70" s="102" t="s">
        <v>116</v>
      </c>
      <c r="C70" s="21">
        <v>0</v>
      </c>
      <c r="D70" s="21">
        <v>0</v>
      </c>
      <c r="E70" s="21">
        <v>0</v>
      </c>
      <c r="F70" s="21">
        <v>0</v>
      </c>
      <c r="G70" s="21">
        <v>0</v>
      </c>
      <c r="H70" s="21">
        <v>0</v>
      </c>
      <c r="I70" s="21">
        <v>0</v>
      </c>
      <c r="J70" s="21">
        <v>0</v>
      </c>
      <c r="K70" s="21">
        <v>0</v>
      </c>
      <c r="L70" s="21">
        <v>0</v>
      </c>
      <c r="M70" s="21">
        <v>0</v>
      </c>
      <c r="N70" s="21">
        <v>0</v>
      </c>
      <c r="O70" s="21">
        <v>0</v>
      </c>
      <c r="P70" s="21">
        <v>0</v>
      </c>
      <c r="Q70" s="21">
        <v>0</v>
      </c>
      <c r="R70" s="21"/>
      <c r="S70" s="21">
        <v>299856</v>
      </c>
      <c r="T70" s="22">
        <v>299856</v>
      </c>
      <c r="V70" s="57"/>
      <c r="W70" s="57"/>
      <c r="X70" s="60"/>
      <c r="Y70" s="60"/>
      <c r="Z70" s="60"/>
      <c r="AA70" s="60"/>
      <c r="AB70" s="60"/>
      <c r="AC70" s="60"/>
      <c r="AD70" s="60"/>
      <c r="AE70" s="60"/>
      <c r="AF70" s="60"/>
      <c r="AG70" s="60"/>
      <c r="AH70" s="60"/>
      <c r="AI70" s="60"/>
      <c r="AJ70" s="60"/>
      <c r="AK70" s="60"/>
      <c r="AL70" s="60"/>
      <c r="AM70" s="60"/>
    </row>
    <row r="71" spans="1:39" x14ac:dyDescent="0.25">
      <c r="A71" s="12" t="s">
        <v>88</v>
      </c>
      <c r="B71" s="100" t="s">
        <v>161</v>
      </c>
      <c r="C71" s="13">
        <v>17</v>
      </c>
      <c r="D71" s="13">
        <v>172</v>
      </c>
      <c r="E71" s="13">
        <v>24</v>
      </c>
      <c r="F71" s="13">
        <v>0</v>
      </c>
      <c r="G71" s="13">
        <v>0</v>
      </c>
      <c r="H71" s="13">
        <v>22</v>
      </c>
      <c r="I71" s="13">
        <v>0</v>
      </c>
      <c r="J71" s="13">
        <v>0</v>
      </c>
      <c r="K71" s="13">
        <v>54852</v>
      </c>
      <c r="L71" s="13">
        <v>0</v>
      </c>
      <c r="M71" s="13">
        <v>0</v>
      </c>
      <c r="N71" s="13">
        <v>0</v>
      </c>
      <c r="O71" s="13">
        <v>0</v>
      </c>
      <c r="P71" s="13">
        <v>0</v>
      </c>
      <c r="Q71" s="13">
        <v>0</v>
      </c>
      <c r="R71" s="13"/>
      <c r="S71" s="13">
        <v>0</v>
      </c>
      <c r="T71" s="14">
        <v>55087</v>
      </c>
      <c r="V71" s="57"/>
      <c r="W71" s="57"/>
    </row>
    <row r="72" spans="1:39" x14ac:dyDescent="0.25">
      <c r="A72" s="12" t="s">
        <v>89</v>
      </c>
      <c r="B72" s="100" t="s">
        <v>117</v>
      </c>
      <c r="C72" s="13">
        <v>0</v>
      </c>
      <c r="D72" s="13">
        <v>0</v>
      </c>
      <c r="E72" s="13">
        <v>0</v>
      </c>
      <c r="F72" s="13">
        <v>0</v>
      </c>
      <c r="G72" s="13">
        <v>0</v>
      </c>
      <c r="H72" s="13">
        <v>0</v>
      </c>
      <c r="I72" s="13">
        <v>0</v>
      </c>
      <c r="J72" s="13">
        <v>0</v>
      </c>
      <c r="K72" s="13">
        <v>847</v>
      </c>
      <c r="L72" s="13">
        <v>0</v>
      </c>
      <c r="M72" s="13">
        <v>0</v>
      </c>
      <c r="N72" s="13">
        <v>0</v>
      </c>
      <c r="O72" s="13">
        <v>0</v>
      </c>
      <c r="P72" s="13">
        <v>0</v>
      </c>
      <c r="Q72" s="13">
        <v>0</v>
      </c>
      <c r="R72" s="13"/>
      <c r="S72" s="13">
        <v>0</v>
      </c>
      <c r="T72" s="14">
        <v>847</v>
      </c>
      <c r="V72" s="57"/>
      <c r="W72" s="57"/>
    </row>
    <row r="73" spans="1:39" x14ac:dyDescent="0.25">
      <c r="A73" s="15" t="s">
        <v>90</v>
      </c>
      <c r="B73" s="101" t="s">
        <v>119</v>
      </c>
      <c r="C73" s="16">
        <v>0</v>
      </c>
      <c r="D73" s="16">
        <v>39079</v>
      </c>
      <c r="E73" s="16">
        <v>0</v>
      </c>
      <c r="F73" s="16">
        <v>100</v>
      </c>
      <c r="G73" s="16">
        <v>0</v>
      </c>
      <c r="H73" s="16">
        <v>-11755</v>
      </c>
      <c r="I73" s="16">
        <v>0</v>
      </c>
      <c r="J73" s="16">
        <v>0</v>
      </c>
      <c r="K73" s="16">
        <v>0</v>
      </c>
      <c r="L73" s="16">
        <v>0</v>
      </c>
      <c r="M73" s="16">
        <v>0</v>
      </c>
      <c r="N73" s="16">
        <v>1223</v>
      </c>
      <c r="O73" s="16">
        <v>0</v>
      </c>
      <c r="P73" s="16">
        <v>0</v>
      </c>
      <c r="Q73" s="16">
        <v>0</v>
      </c>
      <c r="R73" s="16"/>
      <c r="S73" s="16">
        <v>0</v>
      </c>
      <c r="T73" s="17">
        <v>28647</v>
      </c>
      <c r="U73" s="1"/>
      <c r="V73" s="8"/>
      <c r="W73" s="57"/>
    </row>
    <row r="74" spans="1:39" x14ac:dyDescent="0.25">
      <c r="A74" s="27" t="s">
        <v>91</v>
      </c>
      <c r="B74" s="42" t="s">
        <v>118</v>
      </c>
      <c r="C74" s="6">
        <v>0</v>
      </c>
      <c r="D74" s="6">
        <v>0</v>
      </c>
      <c r="E74" s="6">
        <v>0</v>
      </c>
      <c r="F74" s="6">
        <v>0</v>
      </c>
      <c r="G74" s="6">
        <v>0</v>
      </c>
      <c r="H74" s="6">
        <v>0</v>
      </c>
      <c r="I74" s="6">
        <v>0</v>
      </c>
      <c r="J74" s="6">
        <v>0</v>
      </c>
      <c r="K74" s="6">
        <v>0</v>
      </c>
      <c r="L74" s="6">
        <v>0</v>
      </c>
      <c r="M74" s="6">
        <v>0</v>
      </c>
      <c r="N74" s="6">
        <v>0</v>
      </c>
      <c r="O74" s="6">
        <v>0</v>
      </c>
      <c r="P74" s="6">
        <v>0</v>
      </c>
      <c r="Q74" s="6">
        <v>0</v>
      </c>
      <c r="R74" s="6">
        <v>467700</v>
      </c>
      <c r="S74" s="6"/>
      <c r="T74" s="7">
        <v>467700</v>
      </c>
    </row>
    <row r="75" spans="1:39" x14ac:dyDescent="0.25">
      <c r="A75" s="30" t="s">
        <v>92</v>
      </c>
      <c r="B75" s="61"/>
      <c r="C75" s="31">
        <v>735543</v>
      </c>
      <c r="D75" s="31">
        <v>6857208</v>
      </c>
      <c r="E75" s="31">
        <v>496123</v>
      </c>
      <c r="F75" s="31">
        <v>27680</v>
      </c>
      <c r="G75" s="31">
        <v>184420</v>
      </c>
      <c r="H75" s="31">
        <v>3956803</v>
      </c>
      <c r="I75" s="31">
        <v>812250</v>
      </c>
      <c r="J75" s="31">
        <v>423</v>
      </c>
      <c r="K75" s="31">
        <v>1736369</v>
      </c>
      <c r="L75" s="31">
        <v>529625</v>
      </c>
      <c r="M75" s="31">
        <v>77099</v>
      </c>
      <c r="N75" s="31">
        <v>54496</v>
      </c>
      <c r="O75" s="31">
        <v>129211</v>
      </c>
      <c r="P75" s="31">
        <v>38605</v>
      </c>
      <c r="Q75" s="31">
        <v>11381</v>
      </c>
      <c r="R75" s="31">
        <v>467700</v>
      </c>
      <c r="S75" s="31">
        <v>299856</v>
      </c>
      <c r="T75" s="32">
        <v>16414792</v>
      </c>
    </row>
    <row r="76" spans="1:39" ht="13" thickBot="1" x14ac:dyDescent="0.3">
      <c r="A76" s="33"/>
      <c r="B76" s="63"/>
      <c r="C76" s="34"/>
      <c r="D76" s="34"/>
      <c r="E76" s="34"/>
      <c r="F76" s="34"/>
      <c r="G76" s="34"/>
      <c r="H76" s="34"/>
      <c r="I76" s="34"/>
      <c r="J76" s="34"/>
      <c r="K76" s="34"/>
      <c r="L76" s="34"/>
      <c r="M76" s="34"/>
      <c r="N76" s="34"/>
      <c r="O76" s="34"/>
      <c r="P76" s="34"/>
      <c r="Q76" s="34"/>
      <c r="R76" s="34"/>
      <c r="S76" s="34"/>
      <c r="T76" s="35"/>
    </row>
    <row r="77" spans="1:39" x14ac:dyDescent="0.25">
      <c r="A77" s="26"/>
      <c r="B77" s="26"/>
      <c r="C77" s="58"/>
      <c r="D77" s="58"/>
      <c r="E77" s="58"/>
      <c r="F77" s="58"/>
      <c r="G77" s="58"/>
      <c r="H77" s="58"/>
      <c r="I77" s="58"/>
      <c r="J77" s="58"/>
      <c r="K77" s="58"/>
      <c r="L77" s="58"/>
      <c r="M77" s="58"/>
      <c r="N77" s="58"/>
      <c r="O77" s="58"/>
      <c r="P77" s="58"/>
      <c r="Q77" s="58"/>
      <c r="R77" s="58"/>
      <c r="S77" s="58"/>
      <c r="T77" s="58"/>
    </row>
    <row r="78" spans="1:39" x14ac:dyDescent="0.25">
      <c r="A78" s="26"/>
      <c r="B78" s="26"/>
      <c r="E78" s="26"/>
      <c r="F78" s="26"/>
      <c r="G78" s="26"/>
      <c r="H78" s="26"/>
      <c r="I78" s="26"/>
      <c r="J78" s="26"/>
    </row>
    <row r="79" spans="1:39" x14ac:dyDescent="0.25">
      <c r="A79" s="26"/>
      <c r="B79" s="26"/>
      <c r="E79" s="26"/>
      <c r="F79" s="26"/>
      <c r="G79" s="26"/>
      <c r="H79" s="26"/>
      <c r="I79" s="26"/>
      <c r="J79" s="26"/>
    </row>
    <row r="80" spans="1:39" x14ac:dyDescent="0.25">
      <c r="A80" s="26"/>
      <c r="B80" s="26"/>
      <c r="E80" s="26"/>
      <c r="F80" s="26"/>
      <c r="G80" s="26"/>
      <c r="H80" s="26"/>
      <c r="I80" s="26"/>
      <c r="J80" s="26"/>
    </row>
    <row r="81" spans="1:10" x14ac:dyDescent="0.25">
      <c r="A81" s="26"/>
      <c r="B81" s="26"/>
      <c r="E81" s="26"/>
      <c r="F81" s="26"/>
      <c r="G81" s="26"/>
      <c r="H81" s="26"/>
      <c r="I81" s="26"/>
      <c r="J81" s="26"/>
    </row>
    <row r="82" spans="1:10" x14ac:dyDescent="0.25">
      <c r="A82" s="26"/>
      <c r="B82" s="26"/>
      <c r="E82" s="61"/>
      <c r="F82" s="61"/>
      <c r="G82" s="26"/>
      <c r="H82" s="26"/>
      <c r="I82" s="26"/>
      <c r="J82" s="26"/>
    </row>
    <row r="83" spans="1:10" x14ac:dyDescent="0.25">
      <c r="A83" s="26"/>
      <c r="B83" s="26"/>
      <c r="E83" s="62"/>
      <c r="F83" s="26"/>
      <c r="G83" s="26"/>
      <c r="H83" s="26"/>
      <c r="I83" s="26"/>
      <c r="J83" s="26"/>
    </row>
    <row r="84" spans="1:10" x14ac:dyDescent="0.25">
      <c r="A84" s="26"/>
      <c r="B84" s="26"/>
      <c r="E84" s="62"/>
      <c r="F84" s="26"/>
      <c r="G84" s="26"/>
      <c r="H84" s="26"/>
      <c r="I84" s="26"/>
      <c r="J84" s="26"/>
    </row>
    <row r="85" spans="1:10" x14ac:dyDescent="0.25">
      <c r="A85" s="26"/>
      <c r="B85" s="26"/>
      <c r="E85" s="62"/>
      <c r="F85" s="26"/>
      <c r="G85" s="26"/>
      <c r="H85" s="26"/>
      <c r="I85" s="26"/>
      <c r="J85" s="26"/>
    </row>
    <row r="86" spans="1:10" x14ac:dyDescent="0.25">
      <c r="A86" s="26"/>
      <c r="B86" s="26"/>
      <c r="E86" s="62"/>
      <c r="F86" s="26"/>
      <c r="G86" s="26"/>
      <c r="H86" s="26"/>
      <c r="I86" s="26"/>
      <c r="J86" s="26"/>
    </row>
    <row r="87" spans="1:10" x14ac:dyDescent="0.25">
      <c r="A87" s="26"/>
      <c r="B87" s="26"/>
      <c r="E87" s="62"/>
      <c r="F87" s="26"/>
      <c r="G87" s="26"/>
      <c r="H87" s="26"/>
      <c r="I87" s="26"/>
      <c r="J87" s="26"/>
    </row>
    <row r="88" spans="1:10" x14ac:dyDescent="0.25">
      <c r="A88" s="26"/>
      <c r="B88" s="26"/>
      <c r="E88" s="62"/>
      <c r="F88" s="26"/>
      <c r="G88" s="26"/>
      <c r="H88" s="26"/>
      <c r="I88" s="26"/>
      <c r="J88" s="26"/>
    </row>
    <row r="89" spans="1:10" x14ac:dyDescent="0.25">
      <c r="A89" s="26"/>
      <c r="B89" s="26"/>
      <c r="E89" s="62"/>
      <c r="F89" s="26"/>
      <c r="G89" s="26"/>
      <c r="H89" s="26"/>
      <c r="I89" s="26"/>
      <c r="J89" s="26"/>
    </row>
    <row r="90" spans="1:10" x14ac:dyDescent="0.25">
      <c r="A90" s="26"/>
      <c r="B90" s="26"/>
      <c r="E90" s="62"/>
      <c r="F90" s="26"/>
      <c r="G90" s="26"/>
      <c r="H90" s="26"/>
      <c r="I90" s="26"/>
      <c r="J90" s="26"/>
    </row>
    <row r="91" spans="1:10" x14ac:dyDescent="0.25">
      <c r="A91" s="26"/>
      <c r="B91" s="26"/>
      <c r="E91" s="62"/>
      <c r="F91" s="26"/>
      <c r="G91" s="26"/>
      <c r="H91" s="26"/>
      <c r="I91" s="26"/>
      <c r="J91" s="26"/>
    </row>
    <row r="92" spans="1:10" x14ac:dyDescent="0.25">
      <c r="A92" s="26"/>
      <c r="B92" s="26"/>
      <c r="E92" s="62"/>
      <c r="F92" s="26"/>
      <c r="G92" s="26"/>
      <c r="H92" s="26"/>
      <c r="I92" s="26"/>
      <c r="J92" s="26"/>
    </row>
    <row r="93" spans="1:10" x14ac:dyDescent="0.25">
      <c r="A93" s="26"/>
      <c r="B93" s="26"/>
      <c r="E93" s="62"/>
      <c r="F93" s="26"/>
      <c r="G93" s="26"/>
      <c r="H93" s="26"/>
      <c r="I93" s="26"/>
      <c r="J93" s="26"/>
    </row>
    <row r="94" spans="1:10" x14ac:dyDescent="0.25">
      <c r="A94" s="26"/>
      <c r="B94" s="26"/>
      <c r="E94" s="62"/>
      <c r="F94" s="26"/>
      <c r="G94" s="26"/>
      <c r="H94" s="26"/>
      <c r="I94" s="26"/>
      <c r="J94" s="26"/>
    </row>
    <row r="95" spans="1:10" x14ac:dyDescent="0.25">
      <c r="A95" s="26"/>
      <c r="B95" s="26"/>
      <c r="E95" s="62"/>
      <c r="F95" s="26"/>
      <c r="G95" s="26"/>
      <c r="H95" s="26"/>
      <c r="I95" s="26"/>
      <c r="J95" s="26"/>
    </row>
    <row r="96" spans="1:10" x14ac:dyDescent="0.25">
      <c r="A96" s="26"/>
      <c r="B96" s="26"/>
      <c r="E96" s="62"/>
      <c r="F96" s="26"/>
      <c r="G96" s="26"/>
      <c r="H96" s="26"/>
      <c r="I96" s="26"/>
      <c r="J96" s="26"/>
    </row>
    <row r="97" spans="1:10" x14ac:dyDescent="0.25">
      <c r="A97" s="26"/>
      <c r="B97" s="26"/>
      <c r="E97" s="62"/>
      <c r="F97" s="26"/>
      <c r="G97" s="26"/>
      <c r="H97" s="26"/>
      <c r="I97" s="26"/>
      <c r="J97" s="26"/>
    </row>
    <row r="98" spans="1:10" x14ac:dyDescent="0.25">
      <c r="A98" s="26"/>
      <c r="B98" s="26"/>
      <c r="E98" s="62"/>
      <c r="F98" s="26"/>
      <c r="G98" s="26"/>
      <c r="H98" s="26"/>
      <c r="I98" s="26"/>
      <c r="J98" s="26"/>
    </row>
    <row r="99" spans="1:10" x14ac:dyDescent="0.25">
      <c r="A99" s="26"/>
      <c r="B99" s="26"/>
      <c r="E99" s="62"/>
      <c r="F99" s="26"/>
      <c r="G99" s="26"/>
      <c r="H99" s="26"/>
      <c r="I99" s="26"/>
      <c r="J99" s="26"/>
    </row>
    <row r="100" spans="1:10" x14ac:dyDescent="0.25">
      <c r="A100" s="26"/>
      <c r="B100" s="26"/>
      <c r="E100" s="62"/>
      <c r="F100" s="26"/>
      <c r="G100" s="26"/>
      <c r="H100" s="26"/>
      <c r="I100" s="26"/>
      <c r="J100" s="26"/>
    </row>
    <row r="101" spans="1:10" x14ac:dyDescent="0.25">
      <c r="A101" s="26"/>
      <c r="B101" s="26"/>
      <c r="E101" s="62"/>
      <c r="F101" s="26"/>
      <c r="G101" s="26"/>
      <c r="H101" s="26"/>
      <c r="I101" s="26"/>
      <c r="J101" s="26"/>
    </row>
    <row r="102" spans="1:10" x14ac:dyDescent="0.25">
      <c r="A102" s="26"/>
      <c r="B102" s="26"/>
    </row>
    <row r="103" spans="1:10" x14ac:dyDescent="0.25">
      <c r="A103" s="26"/>
      <c r="B103" s="26"/>
    </row>
    <row r="104" spans="1:10" x14ac:dyDescent="0.25">
      <c r="A104" s="26"/>
      <c r="B104" s="26"/>
    </row>
    <row r="105" spans="1:10" x14ac:dyDescent="0.25">
      <c r="A105" s="26"/>
      <c r="B105" s="26"/>
    </row>
    <row r="106" spans="1:10" x14ac:dyDescent="0.25">
      <c r="A106" s="26"/>
      <c r="B106" s="26"/>
    </row>
    <row r="107" spans="1:10" x14ac:dyDescent="0.25">
      <c r="A107" s="26"/>
      <c r="B107" s="26"/>
    </row>
    <row r="108" spans="1:10" x14ac:dyDescent="0.25">
      <c r="A108" s="26"/>
      <c r="B108" s="26"/>
    </row>
    <row r="109" spans="1:10" x14ac:dyDescent="0.25">
      <c r="A109" s="26"/>
      <c r="B109"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9"/>
  <sheetViews>
    <sheetView zoomScaleNormal="100" workbookViewId="0">
      <selection activeCell="U3" sqref="U3"/>
    </sheetView>
  </sheetViews>
  <sheetFormatPr defaultRowHeight="12.5" x14ac:dyDescent="0.25"/>
  <cols>
    <col min="1" max="1" width="7.453125" style="1" customWidth="1"/>
    <col min="2" max="2" width="31" style="115" customWidth="1"/>
    <col min="3" max="3" width="10.1796875" style="1" customWidth="1"/>
    <col min="4" max="4" width="9.1796875" style="19" customWidth="1"/>
    <col min="5" max="5" width="10.81640625" style="19" customWidth="1"/>
    <col min="6" max="6" width="12" style="1" customWidth="1"/>
    <col min="7" max="7" width="10.54296875" style="1" customWidth="1"/>
    <col min="8" max="8" width="8.453125" style="1" customWidth="1"/>
    <col min="9" max="9" width="9.453125" style="1" customWidth="1"/>
    <col min="10" max="11" width="10.54296875" style="1" customWidth="1"/>
    <col min="12" max="12" width="9" style="1" customWidth="1"/>
    <col min="13" max="14" width="10.453125" style="1" customWidth="1"/>
    <col min="15" max="15" width="9" style="1" customWidth="1"/>
    <col min="16" max="16" width="9.453125" style="1" customWidth="1"/>
    <col min="17" max="17" width="9" style="1" customWidth="1"/>
    <col min="18" max="18" width="10.453125" style="1" customWidth="1"/>
    <col min="19" max="19" width="9.453125" style="1" customWidth="1"/>
    <col min="20" max="20" width="10.1796875" style="1" customWidth="1"/>
    <col min="21" max="21" width="9.453125" style="1" customWidth="1"/>
    <col min="22" max="22" width="15.453125" style="94" customWidth="1"/>
    <col min="23" max="23" width="13.1796875" style="1" bestFit="1" customWidth="1"/>
    <col min="24" max="24" width="10.453125" style="1" bestFit="1" customWidth="1"/>
    <col min="25" max="25" width="11.453125" style="1" bestFit="1" customWidth="1"/>
    <col min="26" max="26" width="9.453125" style="1" bestFit="1" customWidth="1"/>
    <col min="27" max="27" width="11.453125" style="1" bestFit="1" customWidth="1"/>
    <col min="28" max="31" width="9.453125" style="1" bestFit="1" customWidth="1"/>
    <col min="32" max="32" width="10.453125" style="1" bestFit="1" customWidth="1"/>
    <col min="33" max="33" width="9.453125" style="1" bestFit="1" customWidth="1"/>
    <col min="34" max="37" width="9" style="1" bestFit="1" customWidth="1"/>
    <col min="38" max="38" width="11.453125" style="1" bestFit="1" customWidth="1"/>
    <col min="39" max="257" width="8.81640625" style="1"/>
    <col min="258" max="258" width="7.453125" style="1" customWidth="1"/>
    <col min="259" max="259" width="16.1796875" style="1" customWidth="1"/>
    <col min="260" max="260" width="9.1796875" style="1" customWidth="1"/>
    <col min="261" max="261" width="10.81640625" style="1" customWidth="1"/>
    <col min="262" max="262" width="12" style="1" customWidth="1"/>
    <col min="263" max="263" width="10.54296875" style="1" customWidth="1"/>
    <col min="264" max="264" width="8.453125" style="1" customWidth="1"/>
    <col min="265" max="265" width="9.453125" style="1" customWidth="1"/>
    <col min="266" max="267" width="10.54296875" style="1" customWidth="1"/>
    <col min="268" max="268" width="9" style="1" customWidth="1"/>
    <col min="269" max="270" width="10.453125" style="1" customWidth="1"/>
    <col min="271" max="271" width="9" style="1" customWidth="1"/>
    <col min="272" max="272" width="9.453125" style="1" customWidth="1"/>
    <col min="273" max="273" width="9" style="1" customWidth="1"/>
    <col min="274" max="274" width="10.453125" style="1" customWidth="1"/>
    <col min="275" max="275" width="9.453125" style="1" customWidth="1"/>
    <col min="276" max="276" width="10.1796875" style="1" customWidth="1"/>
    <col min="277" max="277" width="9.453125" style="1" customWidth="1"/>
    <col min="278" max="278" width="15.453125" style="1" customWidth="1"/>
    <col min="279" max="279" width="13.1796875" style="1" bestFit="1" customWidth="1"/>
    <col min="280" max="280" width="10.453125" style="1" bestFit="1" customWidth="1"/>
    <col min="281" max="281" width="11.453125" style="1" bestFit="1" customWidth="1"/>
    <col min="282" max="282" width="9.453125" style="1" bestFit="1" customWidth="1"/>
    <col min="283" max="283" width="11.453125" style="1" bestFit="1" customWidth="1"/>
    <col min="284" max="287" width="9.453125" style="1" bestFit="1" customWidth="1"/>
    <col min="288" max="288" width="10.453125" style="1" bestFit="1" customWidth="1"/>
    <col min="289" max="289" width="9.453125" style="1" bestFit="1" customWidth="1"/>
    <col min="290" max="293" width="9" style="1" bestFit="1" customWidth="1"/>
    <col min="294" max="294" width="11.453125" style="1" bestFit="1" customWidth="1"/>
    <col min="295" max="513" width="8.81640625" style="1"/>
    <col min="514" max="514" width="7.453125" style="1" customWidth="1"/>
    <col min="515" max="515" width="16.1796875" style="1" customWidth="1"/>
    <col min="516" max="516" width="9.1796875" style="1" customWidth="1"/>
    <col min="517" max="517" width="10.81640625" style="1" customWidth="1"/>
    <col min="518" max="518" width="12" style="1" customWidth="1"/>
    <col min="519" max="519" width="10.54296875" style="1" customWidth="1"/>
    <col min="520" max="520" width="8.453125" style="1" customWidth="1"/>
    <col min="521" max="521" width="9.453125" style="1" customWidth="1"/>
    <col min="522" max="523" width="10.54296875" style="1" customWidth="1"/>
    <col min="524" max="524" width="9" style="1" customWidth="1"/>
    <col min="525" max="526" width="10.453125" style="1" customWidth="1"/>
    <col min="527" max="527" width="9" style="1" customWidth="1"/>
    <col min="528" max="528" width="9.453125" style="1" customWidth="1"/>
    <col min="529" max="529" width="9" style="1" customWidth="1"/>
    <col min="530" max="530" width="10.453125" style="1" customWidth="1"/>
    <col min="531" max="531" width="9.453125" style="1" customWidth="1"/>
    <col min="532" max="532" width="10.1796875" style="1" customWidth="1"/>
    <col min="533" max="533" width="9.453125" style="1" customWidth="1"/>
    <col min="534" max="534" width="15.453125" style="1" customWidth="1"/>
    <col min="535" max="535" width="13.1796875" style="1" bestFit="1" customWidth="1"/>
    <col min="536" max="536" width="10.453125" style="1" bestFit="1" customWidth="1"/>
    <col min="537" max="537" width="11.453125" style="1" bestFit="1" customWidth="1"/>
    <col min="538" max="538" width="9.453125" style="1" bestFit="1" customWidth="1"/>
    <col min="539" max="539" width="11.453125" style="1" bestFit="1" customWidth="1"/>
    <col min="540" max="543" width="9.453125" style="1" bestFit="1" customWidth="1"/>
    <col min="544" max="544" width="10.453125" style="1" bestFit="1" customWidth="1"/>
    <col min="545" max="545" width="9.453125" style="1" bestFit="1" customWidth="1"/>
    <col min="546" max="549" width="9" style="1" bestFit="1" customWidth="1"/>
    <col min="550" max="550" width="11.453125" style="1" bestFit="1" customWidth="1"/>
    <col min="551" max="769" width="8.81640625" style="1"/>
    <col min="770" max="770" width="7.453125" style="1" customWidth="1"/>
    <col min="771" max="771" width="16.1796875" style="1" customWidth="1"/>
    <col min="772" max="772" width="9.1796875" style="1" customWidth="1"/>
    <col min="773" max="773" width="10.81640625" style="1" customWidth="1"/>
    <col min="774" max="774" width="12" style="1" customWidth="1"/>
    <col min="775" max="775" width="10.54296875" style="1" customWidth="1"/>
    <col min="776" max="776" width="8.453125" style="1" customWidth="1"/>
    <col min="777" max="777" width="9.453125" style="1" customWidth="1"/>
    <col min="778" max="779" width="10.54296875" style="1" customWidth="1"/>
    <col min="780" max="780" width="9" style="1" customWidth="1"/>
    <col min="781" max="782" width="10.453125" style="1" customWidth="1"/>
    <col min="783" max="783" width="9" style="1" customWidth="1"/>
    <col min="784" max="784" width="9.453125" style="1" customWidth="1"/>
    <col min="785" max="785" width="9" style="1" customWidth="1"/>
    <col min="786" max="786" width="10.453125" style="1" customWidth="1"/>
    <col min="787" max="787" width="9.453125" style="1" customWidth="1"/>
    <col min="788" max="788" width="10.1796875" style="1" customWidth="1"/>
    <col min="789" max="789" width="9.453125" style="1" customWidth="1"/>
    <col min="790" max="790" width="15.453125" style="1" customWidth="1"/>
    <col min="791" max="791" width="13.1796875" style="1" bestFit="1" customWidth="1"/>
    <col min="792" max="792" width="10.453125" style="1" bestFit="1" customWidth="1"/>
    <col min="793" max="793" width="11.453125" style="1" bestFit="1" customWidth="1"/>
    <col min="794" max="794" width="9.453125" style="1" bestFit="1" customWidth="1"/>
    <col min="795" max="795" width="11.453125" style="1" bestFit="1" customWidth="1"/>
    <col min="796" max="799" width="9.453125" style="1" bestFit="1" customWidth="1"/>
    <col min="800" max="800" width="10.453125" style="1" bestFit="1" customWidth="1"/>
    <col min="801" max="801" width="9.453125" style="1" bestFit="1" customWidth="1"/>
    <col min="802" max="805" width="9" style="1" bestFit="1" customWidth="1"/>
    <col min="806" max="806" width="11.453125" style="1" bestFit="1" customWidth="1"/>
    <col min="807" max="1025" width="8.81640625" style="1"/>
    <col min="1026" max="1026" width="7.453125" style="1" customWidth="1"/>
    <col min="1027" max="1027" width="16.1796875" style="1" customWidth="1"/>
    <col min="1028" max="1028" width="9.1796875" style="1" customWidth="1"/>
    <col min="1029" max="1029" width="10.81640625" style="1" customWidth="1"/>
    <col min="1030" max="1030" width="12" style="1" customWidth="1"/>
    <col min="1031" max="1031" width="10.54296875" style="1" customWidth="1"/>
    <col min="1032" max="1032" width="8.453125" style="1" customWidth="1"/>
    <col min="1033" max="1033" width="9.453125" style="1" customWidth="1"/>
    <col min="1034" max="1035" width="10.54296875" style="1" customWidth="1"/>
    <col min="1036" max="1036" width="9" style="1" customWidth="1"/>
    <col min="1037" max="1038" width="10.453125" style="1" customWidth="1"/>
    <col min="1039" max="1039" width="9" style="1" customWidth="1"/>
    <col min="1040" max="1040" width="9.453125" style="1" customWidth="1"/>
    <col min="1041" max="1041" width="9" style="1" customWidth="1"/>
    <col min="1042" max="1042" width="10.453125" style="1" customWidth="1"/>
    <col min="1043" max="1043" width="9.453125" style="1" customWidth="1"/>
    <col min="1044" max="1044" width="10.1796875" style="1" customWidth="1"/>
    <col min="1045" max="1045" width="9.453125" style="1" customWidth="1"/>
    <col min="1046" max="1046" width="15.453125" style="1" customWidth="1"/>
    <col min="1047" max="1047" width="13.1796875" style="1" bestFit="1" customWidth="1"/>
    <col min="1048" max="1048" width="10.453125" style="1" bestFit="1" customWidth="1"/>
    <col min="1049" max="1049" width="11.453125" style="1" bestFit="1" customWidth="1"/>
    <col min="1050" max="1050" width="9.453125" style="1" bestFit="1" customWidth="1"/>
    <col min="1051" max="1051" width="11.453125" style="1" bestFit="1" customWidth="1"/>
    <col min="1052" max="1055" width="9.453125" style="1" bestFit="1" customWidth="1"/>
    <col min="1056" max="1056" width="10.453125" style="1" bestFit="1" customWidth="1"/>
    <col min="1057" max="1057" width="9.453125" style="1" bestFit="1" customWidth="1"/>
    <col min="1058" max="1061" width="9" style="1" bestFit="1" customWidth="1"/>
    <col min="1062" max="1062" width="11.453125" style="1" bestFit="1" customWidth="1"/>
    <col min="1063" max="1281" width="8.81640625" style="1"/>
    <col min="1282" max="1282" width="7.453125" style="1" customWidth="1"/>
    <col min="1283" max="1283" width="16.1796875" style="1" customWidth="1"/>
    <col min="1284" max="1284" width="9.1796875" style="1" customWidth="1"/>
    <col min="1285" max="1285" width="10.81640625" style="1" customWidth="1"/>
    <col min="1286" max="1286" width="12" style="1" customWidth="1"/>
    <col min="1287" max="1287" width="10.54296875" style="1" customWidth="1"/>
    <col min="1288" max="1288" width="8.453125" style="1" customWidth="1"/>
    <col min="1289" max="1289" width="9.453125" style="1" customWidth="1"/>
    <col min="1290" max="1291" width="10.54296875" style="1" customWidth="1"/>
    <col min="1292" max="1292" width="9" style="1" customWidth="1"/>
    <col min="1293" max="1294" width="10.453125" style="1" customWidth="1"/>
    <col min="1295" max="1295" width="9" style="1" customWidth="1"/>
    <col min="1296" max="1296" width="9.453125" style="1" customWidth="1"/>
    <col min="1297" max="1297" width="9" style="1" customWidth="1"/>
    <col min="1298" max="1298" width="10.453125" style="1" customWidth="1"/>
    <col min="1299" max="1299" width="9.453125" style="1" customWidth="1"/>
    <col min="1300" max="1300" width="10.1796875" style="1" customWidth="1"/>
    <col min="1301" max="1301" width="9.453125" style="1" customWidth="1"/>
    <col min="1302" max="1302" width="15.453125" style="1" customWidth="1"/>
    <col min="1303" max="1303" width="13.1796875" style="1" bestFit="1" customWidth="1"/>
    <col min="1304" max="1304" width="10.453125" style="1" bestFit="1" customWidth="1"/>
    <col min="1305" max="1305" width="11.453125" style="1" bestFit="1" customWidth="1"/>
    <col min="1306" max="1306" width="9.453125" style="1" bestFit="1" customWidth="1"/>
    <col min="1307" max="1307" width="11.453125" style="1" bestFit="1" customWidth="1"/>
    <col min="1308" max="1311" width="9.453125" style="1" bestFit="1" customWidth="1"/>
    <col min="1312" max="1312" width="10.453125" style="1" bestFit="1" customWidth="1"/>
    <col min="1313" max="1313" width="9.453125" style="1" bestFit="1" customWidth="1"/>
    <col min="1314" max="1317" width="9" style="1" bestFit="1" customWidth="1"/>
    <col min="1318" max="1318" width="11.453125" style="1" bestFit="1" customWidth="1"/>
    <col min="1319" max="1537" width="8.81640625" style="1"/>
    <col min="1538" max="1538" width="7.453125" style="1" customWidth="1"/>
    <col min="1539" max="1539" width="16.1796875" style="1" customWidth="1"/>
    <col min="1540" max="1540" width="9.1796875" style="1" customWidth="1"/>
    <col min="1541" max="1541" width="10.81640625" style="1" customWidth="1"/>
    <col min="1542" max="1542" width="12" style="1" customWidth="1"/>
    <col min="1543" max="1543" width="10.54296875" style="1" customWidth="1"/>
    <col min="1544" max="1544" width="8.453125" style="1" customWidth="1"/>
    <col min="1545" max="1545" width="9.453125" style="1" customWidth="1"/>
    <col min="1546" max="1547" width="10.54296875" style="1" customWidth="1"/>
    <col min="1548" max="1548" width="9" style="1" customWidth="1"/>
    <col min="1549" max="1550" width="10.453125" style="1" customWidth="1"/>
    <col min="1551" max="1551" width="9" style="1" customWidth="1"/>
    <col min="1552" max="1552" width="9.453125" style="1" customWidth="1"/>
    <col min="1553" max="1553" width="9" style="1" customWidth="1"/>
    <col min="1554" max="1554" width="10.453125" style="1" customWidth="1"/>
    <col min="1555" max="1555" width="9.453125" style="1" customWidth="1"/>
    <col min="1556" max="1556" width="10.1796875" style="1" customWidth="1"/>
    <col min="1557" max="1557" width="9.453125" style="1" customWidth="1"/>
    <col min="1558" max="1558" width="15.453125" style="1" customWidth="1"/>
    <col min="1559" max="1559" width="13.1796875" style="1" bestFit="1" customWidth="1"/>
    <col min="1560" max="1560" width="10.453125" style="1" bestFit="1" customWidth="1"/>
    <col min="1561" max="1561" width="11.453125" style="1" bestFit="1" customWidth="1"/>
    <col min="1562" max="1562" width="9.453125" style="1" bestFit="1" customWidth="1"/>
    <col min="1563" max="1563" width="11.453125" style="1" bestFit="1" customWidth="1"/>
    <col min="1564" max="1567" width="9.453125" style="1" bestFit="1" customWidth="1"/>
    <col min="1568" max="1568" width="10.453125" style="1" bestFit="1" customWidth="1"/>
    <col min="1569" max="1569" width="9.453125" style="1" bestFit="1" customWidth="1"/>
    <col min="1570" max="1573" width="9" style="1" bestFit="1" customWidth="1"/>
    <col min="1574" max="1574" width="11.453125" style="1" bestFit="1" customWidth="1"/>
    <col min="1575" max="1793" width="8.81640625" style="1"/>
    <col min="1794" max="1794" width="7.453125" style="1" customWidth="1"/>
    <col min="1795" max="1795" width="16.1796875" style="1" customWidth="1"/>
    <col min="1796" max="1796" width="9.1796875" style="1" customWidth="1"/>
    <col min="1797" max="1797" width="10.81640625" style="1" customWidth="1"/>
    <col min="1798" max="1798" width="12" style="1" customWidth="1"/>
    <col min="1799" max="1799" width="10.54296875" style="1" customWidth="1"/>
    <col min="1800" max="1800" width="8.453125" style="1" customWidth="1"/>
    <col min="1801" max="1801" width="9.453125" style="1" customWidth="1"/>
    <col min="1802" max="1803" width="10.54296875" style="1" customWidth="1"/>
    <col min="1804" max="1804" width="9" style="1" customWidth="1"/>
    <col min="1805" max="1806" width="10.453125" style="1" customWidth="1"/>
    <col min="1807" max="1807" width="9" style="1" customWidth="1"/>
    <col min="1808" max="1808" width="9.453125" style="1" customWidth="1"/>
    <col min="1809" max="1809" width="9" style="1" customWidth="1"/>
    <col min="1810" max="1810" width="10.453125" style="1" customWidth="1"/>
    <col min="1811" max="1811" width="9.453125" style="1" customWidth="1"/>
    <col min="1812" max="1812" width="10.1796875" style="1" customWidth="1"/>
    <col min="1813" max="1813" width="9.453125" style="1" customWidth="1"/>
    <col min="1814" max="1814" width="15.453125" style="1" customWidth="1"/>
    <col min="1815" max="1815" width="13.1796875" style="1" bestFit="1" customWidth="1"/>
    <col min="1816" max="1816" width="10.453125" style="1" bestFit="1" customWidth="1"/>
    <col min="1817" max="1817" width="11.453125" style="1" bestFit="1" customWidth="1"/>
    <col min="1818" max="1818" width="9.453125" style="1" bestFit="1" customWidth="1"/>
    <col min="1819" max="1819" width="11.453125" style="1" bestFit="1" customWidth="1"/>
    <col min="1820" max="1823" width="9.453125" style="1" bestFit="1" customWidth="1"/>
    <col min="1824" max="1824" width="10.453125" style="1" bestFit="1" customWidth="1"/>
    <col min="1825" max="1825" width="9.453125" style="1" bestFit="1" customWidth="1"/>
    <col min="1826" max="1829" width="9" style="1" bestFit="1" customWidth="1"/>
    <col min="1830" max="1830" width="11.453125" style="1" bestFit="1" customWidth="1"/>
    <col min="1831" max="2049" width="8.81640625" style="1"/>
    <col min="2050" max="2050" width="7.453125" style="1" customWidth="1"/>
    <col min="2051" max="2051" width="16.1796875" style="1" customWidth="1"/>
    <col min="2052" max="2052" width="9.1796875" style="1" customWidth="1"/>
    <col min="2053" max="2053" width="10.81640625" style="1" customWidth="1"/>
    <col min="2054" max="2054" width="12" style="1" customWidth="1"/>
    <col min="2055" max="2055" width="10.54296875" style="1" customWidth="1"/>
    <col min="2056" max="2056" width="8.453125" style="1" customWidth="1"/>
    <col min="2057" max="2057" width="9.453125" style="1" customWidth="1"/>
    <col min="2058" max="2059" width="10.54296875" style="1" customWidth="1"/>
    <col min="2060" max="2060" width="9" style="1" customWidth="1"/>
    <col min="2061" max="2062" width="10.453125" style="1" customWidth="1"/>
    <col min="2063" max="2063" width="9" style="1" customWidth="1"/>
    <col min="2064" max="2064" width="9.453125" style="1" customWidth="1"/>
    <col min="2065" max="2065" width="9" style="1" customWidth="1"/>
    <col min="2066" max="2066" width="10.453125" style="1" customWidth="1"/>
    <col min="2067" max="2067" width="9.453125" style="1" customWidth="1"/>
    <col min="2068" max="2068" width="10.1796875" style="1" customWidth="1"/>
    <col min="2069" max="2069" width="9.453125" style="1" customWidth="1"/>
    <col min="2070" max="2070" width="15.453125" style="1" customWidth="1"/>
    <col min="2071" max="2071" width="13.1796875" style="1" bestFit="1" customWidth="1"/>
    <col min="2072" max="2072" width="10.453125" style="1" bestFit="1" customWidth="1"/>
    <col min="2073" max="2073" width="11.453125" style="1" bestFit="1" customWidth="1"/>
    <col min="2074" max="2074" width="9.453125" style="1" bestFit="1" customWidth="1"/>
    <col min="2075" max="2075" width="11.453125" style="1" bestFit="1" customWidth="1"/>
    <col min="2076" max="2079" width="9.453125" style="1" bestFit="1" customWidth="1"/>
    <col min="2080" max="2080" width="10.453125" style="1" bestFit="1" customWidth="1"/>
    <col min="2081" max="2081" width="9.453125" style="1" bestFit="1" customWidth="1"/>
    <col min="2082" max="2085" width="9" style="1" bestFit="1" customWidth="1"/>
    <col min="2086" max="2086" width="11.453125" style="1" bestFit="1" customWidth="1"/>
    <col min="2087" max="2305" width="8.81640625" style="1"/>
    <col min="2306" max="2306" width="7.453125" style="1" customWidth="1"/>
    <col min="2307" max="2307" width="16.1796875" style="1" customWidth="1"/>
    <col min="2308" max="2308" width="9.1796875" style="1" customWidth="1"/>
    <col min="2309" max="2309" width="10.81640625" style="1" customWidth="1"/>
    <col min="2310" max="2310" width="12" style="1" customWidth="1"/>
    <col min="2311" max="2311" width="10.54296875" style="1" customWidth="1"/>
    <col min="2312" max="2312" width="8.453125" style="1" customWidth="1"/>
    <col min="2313" max="2313" width="9.453125" style="1" customWidth="1"/>
    <col min="2314" max="2315" width="10.54296875" style="1" customWidth="1"/>
    <col min="2316" max="2316" width="9" style="1" customWidth="1"/>
    <col min="2317" max="2318" width="10.453125" style="1" customWidth="1"/>
    <col min="2319" max="2319" width="9" style="1" customWidth="1"/>
    <col min="2320" max="2320" width="9.453125" style="1" customWidth="1"/>
    <col min="2321" max="2321" width="9" style="1" customWidth="1"/>
    <col min="2322" max="2322" width="10.453125" style="1" customWidth="1"/>
    <col min="2323" max="2323" width="9.453125" style="1" customWidth="1"/>
    <col min="2324" max="2324" width="10.1796875" style="1" customWidth="1"/>
    <col min="2325" max="2325" width="9.453125" style="1" customWidth="1"/>
    <col min="2326" max="2326" width="15.453125" style="1" customWidth="1"/>
    <col min="2327" max="2327" width="13.1796875" style="1" bestFit="1" customWidth="1"/>
    <col min="2328" max="2328" width="10.453125" style="1" bestFit="1" customWidth="1"/>
    <col min="2329" max="2329" width="11.453125" style="1" bestFit="1" customWidth="1"/>
    <col min="2330" max="2330" width="9.453125" style="1" bestFit="1" customWidth="1"/>
    <col min="2331" max="2331" width="11.453125" style="1" bestFit="1" customWidth="1"/>
    <col min="2332" max="2335" width="9.453125" style="1" bestFit="1" customWidth="1"/>
    <col min="2336" max="2336" width="10.453125" style="1" bestFit="1" customWidth="1"/>
    <col min="2337" max="2337" width="9.453125" style="1" bestFit="1" customWidth="1"/>
    <col min="2338" max="2341" width="9" style="1" bestFit="1" customWidth="1"/>
    <col min="2342" max="2342" width="11.453125" style="1" bestFit="1" customWidth="1"/>
    <col min="2343" max="2561" width="8.81640625" style="1"/>
    <col min="2562" max="2562" width="7.453125" style="1" customWidth="1"/>
    <col min="2563" max="2563" width="16.1796875" style="1" customWidth="1"/>
    <col min="2564" max="2564" width="9.1796875" style="1" customWidth="1"/>
    <col min="2565" max="2565" width="10.81640625" style="1" customWidth="1"/>
    <col min="2566" max="2566" width="12" style="1" customWidth="1"/>
    <col min="2567" max="2567" width="10.54296875" style="1" customWidth="1"/>
    <col min="2568" max="2568" width="8.453125" style="1" customWidth="1"/>
    <col min="2569" max="2569" width="9.453125" style="1" customWidth="1"/>
    <col min="2570" max="2571" width="10.54296875" style="1" customWidth="1"/>
    <col min="2572" max="2572" width="9" style="1" customWidth="1"/>
    <col min="2573" max="2574" width="10.453125" style="1" customWidth="1"/>
    <col min="2575" max="2575" width="9" style="1" customWidth="1"/>
    <col min="2576" max="2576" width="9.453125" style="1" customWidth="1"/>
    <col min="2577" max="2577" width="9" style="1" customWidth="1"/>
    <col min="2578" max="2578" width="10.453125" style="1" customWidth="1"/>
    <col min="2579" max="2579" width="9.453125" style="1" customWidth="1"/>
    <col min="2580" max="2580" width="10.1796875" style="1" customWidth="1"/>
    <col min="2581" max="2581" width="9.453125" style="1" customWidth="1"/>
    <col min="2582" max="2582" width="15.453125" style="1" customWidth="1"/>
    <col min="2583" max="2583" width="13.1796875" style="1" bestFit="1" customWidth="1"/>
    <col min="2584" max="2584" width="10.453125" style="1" bestFit="1" customWidth="1"/>
    <col min="2585" max="2585" width="11.453125" style="1" bestFit="1" customWidth="1"/>
    <col min="2586" max="2586" width="9.453125" style="1" bestFit="1" customWidth="1"/>
    <col min="2587" max="2587" width="11.453125" style="1" bestFit="1" customWidth="1"/>
    <col min="2588" max="2591" width="9.453125" style="1" bestFit="1" customWidth="1"/>
    <col min="2592" max="2592" width="10.453125" style="1" bestFit="1" customWidth="1"/>
    <col min="2593" max="2593" width="9.453125" style="1" bestFit="1" customWidth="1"/>
    <col min="2594" max="2597" width="9" style="1" bestFit="1" customWidth="1"/>
    <col min="2598" max="2598" width="11.453125" style="1" bestFit="1" customWidth="1"/>
    <col min="2599" max="2817" width="8.81640625" style="1"/>
    <col min="2818" max="2818" width="7.453125" style="1" customWidth="1"/>
    <col min="2819" max="2819" width="16.1796875" style="1" customWidth="1"/>
    <col min="2820" max="2820" width="9.1796875" style="1" customWidth="1"/>
    <col min="2821" max="2821" width="10.81640625" style="1" customWidth="1"/>
    <col min="2822" max="2822" width="12" style="1" customWidth="1"/>
    <col min="2823" max="2823" width="10.54296875" style="1" customWidth="1"/>
    <col min="2824" max="2824" width="8.453125" style="1" customWidth="1"/>
    <col min="2825" max="2825" width="9.453125" style="1" customWidth="1"/>
    <col min="2826" max="2827" width="10.54296875" style="1" customWidth="1"/>
    <col min="2828" max="2828" width="9" style="1" customWidth="1"/>
    <col min="2829" max="2830" width="10.453125" style="1" customWidth="1"/>
    <col min="2831" max="2831" width="9" style="1" customWidth="1"/>
    <col min="2832" max="2832" width="9.453125" style="1" customWidth="1"/>
    <col min="2833" max="2833" width="9" style="1" customWidth="1"/>
    <col min="2834" max="2834" width="10.453125" style="1" customWidth="1"/>
    <col min="2835" max="2835" width="9.453125" style="1" customWidth="1"/>
    <col min="2836" max="2836" width="10.1796875" style="1" customWidth="1"/>
    <col min="2837" max="2837" width="9.453125" style="1" customWidth="1"/>
    <col min="2838" max="2838" width="15.453125" style="1" customWidth="1"/>
    <col min="2839" max="2839" width="13.1796875" style="1" bestFit="1" customWidth="1"/>
    <col min="2840" max="2840" width="10.453125" style="1" bestFit="1" customWidth="1"/>
    <col min="2841" max="2841" width="11.453125" style="1" bestFit="1" customWidth="1"/>
    <col min="2842" max="2842" width="9.453125" style="1" bestFit="1" customWidth="1"/>
    <col min="2843" max="2843" width="11.453125" style="1" bestFit="1" customWidth="1"/>
    <col min="2844" max="2847" width="9.453125" style="1" bestFit="1" customWidth="1"/>
    <col min="2848" max="2848" width="10.453125" style="1" bestFit="1" customWidth="1"/>
    <col min="2849" max="2849" width="9.453125" style="1" bestFit="1" customWidth="1"/>
    <col min="2850" max="2853" width="9" style="1" bestFit="1" customWidth="1"/>
    <col min="2854" max="2854" width="11.453125" style="1" bestFit="1" customWidth="1"/>
    <col min="2855" max="3073" width="8.81640625" style="1"/>
    <col min="3074" max="3074" width="7.453125" style="1" customWidth="1"/>
    <col min="3075" max="3075" width="16.1796875" style="1" customWidth="1"/>
    <col min="3076" max="3076" width="9.1796875" style="1" customWidth="1"/>
    <col min="3077" max="3077" width="10.81640625" style="1" customWidth="1"/>
    <col min="3078" max="3078" width="12" style="1" customWidth="1"/>
    <col min="3079" max="3079" width="10.54296875" style="1" customWidth="1"/>
    <col min="3080" max="3080" width="8.453125" style="1" customWidth="1"/>
    <col min="3081" max="3081" width="9.453125" style="1" customWidth="1"/>
    <col min="3082" max="3083" width="10.54296875" style="1" customWidth="1"/>
    <col min="3084" max="3084" width="9" style="1" customWidth="1"/>
    <col min="3085" max="3086" width="10.453125" style="1" customWidth="1"/>
    <col min="3087" max="3087" width="9" style="1" customWidth="1"/>
    <col min="3088" max="3088" width="9.453125" style="1" customWidth="1"/>
    <col min="3089" max="3089" width="9" style="1" customWidth="1"/>
    <col min="3090" max="3090" width="10.453125" style="1" customWidth="1"/>
    <col min="3091" max="3091" width="9.453125" style="1" customWidth="1"/>
    <col min="3092" max="3092" width="10.1796875" style="1" customWidth="1"/>
    <col min="3093" max="3093" width="9.453125" style="1" customWidth="1"/>
    <col min="3094" max="3094" width="15.453125" style="1" customWidth="1"/>
    <col min="3095" max="3095" width="13.1796875" style="1" bestFit="1" customWidth="1"/>
    <col min="3096" max="3096" width="10.453125" style="1" bestFit="1" customWidth="1"/>
    <col min="3097" max="3097" width="11.453125" style="1" bestFit="1" customWidth="1"/>
    <col min="3098" max="3098" width="9.453125" style="1" bestFit="1" customWidth="1"/>
    <col min="3099" max="3099" width="11.453125" style="1" bestFit="1" customWidth="1"/>
    <col min="3100" max="3103" width="9.453125" style="1" bestFit="1" customWidth="1"/>
    <col min="3104" max="3104" width="10.453125" style="1" bestFit="1" customWidth="1"/>
    <col min="3105" max="3105" width="9.453125" style="1" bestFit="1" customWidth="1"/>
    <col min="3106" max="3109" width="9" style="1" bestFit="1" customWidth="1"/>
    <col min="3110" max="3110" width="11.453125" style="1" bestFit="1" customWidth="1"/>
    <col min="3111" max="3329" width="8.81640625" style="1"/>
    <col min="3330" max="3330" width="7.453125" style="1" customWidth="1"/>
    <col min="3331" max="3331" width="16.1796875" style="1" customWidth="1"/>
    <col min="3332" max="3332" width="9.1796875" style="1" customWidth="1"/>
    <col min="3333" max="3333" width="10.81640625" style="1" customWidth="1"/>
    <col min="3334" max="3334" width="12" style="1" customWidth="1"/>
    <col min="3335" max="3335" width="10.54296875" style="1" customWidth="1"/>
    <col min="3336" max="3336" width="8.453125" style="1" customWidth="1"/>
    <col min="3337" max="3337" width="9.453125" style="1" customWidth="1"/>
    <col min="3338" max="3339" width="10.54296875" style="1" customWidth="1"/>
    <col min="3340" max="3340" width="9" style="1" customWidth="1"/>
    <col min="3341" max="3342" width="10.453125" style="1" customWidth="1"/>
    <col min="3343" max="3343" width="9" style="1" customWidth="1"/>
    <col min="3344" max="3344" width="9.453125" style="1" customWidth="1"/>
    <col min="3345" max="3345" width="9" style="1" customWidth="1"/>
    <col min="3346" max="3346" width="10.453125" style="1" customWidth="1"/>
    <col min="3347" max="3347" width="9.453125" style="1" customWidth="1"/>
    <col min="3348" max="3348" width="10.1796875" style="1" customWidth="1"/>
    <col min="3349" max="3349" width="9.453125" style="1" customWidth="1"/>
    <col min="3350" max="3350" width="15.453125" style="1" customWidth="1"/>
    <col min="3351" max="3351" width="13.1796875" style="1" bestFit="1" customWidth="1"/>
    <col min="3352" max="3352" width="10.453125" style="1" bestFit="1" customWidth="1"/>
    <col min="3353" max="3353" width="11.453125" style="1" bestFit="1" customWidth="1"/>
    <col min="3354" max="3354" width="9.453125" style="1" bestFit="1" customWidth="1"/>
    <col min="3355" max="3355" width="11.453125" style="1" bestFit="1" customWidth="1"/>
    <col min="3356" max="3359" width="9.453125" style="1" bestFit="1" customWidth="1"/>
    <col min="3360" max="3360" width="10.453125" style="1" bestFit="1" customWidth="1"/>
    <col min="3361" max="3361" width="9.453125" style="1" bestFit="1" customWidth="1"/>
    <col min="3362" max="3365" width="9" style="1" bestFit="1" customWidth="1"/>
    <col min="3366" max="3366" width="11.453125" style="1" bestFit="1" customWidth="1"/>
    <col min="3367" max="3585" width="8.81640625" style="1"/>
    <col min="3586" max="3586" width="7.453125" style="1" customWidth="1"/>
    <col min="3587" max="3587" width="16.1796875" style="1" customWidth="1"/>
    <col min="3588" max="3588" width="9.1796875" style="1" customWidth="1"/>
    <col min="3589" max="3589" width="10.81640625" style="1" customWidth="1"/>
    <col min="3590" max="3590" width="12" style="1" customWidth="1"/>
    <col min="3591" max="3591" width="10.54296875" style="1" customWidth="1"/>
    <col min="3592" max="3592" width="8.453125" style="1" customWidth="1"/>
    <col min="3593" max="3593" width="9.453125" style="1" customWidth="1"/>
    <col min="3594" max="3595" width="10.54296875" style="1" customWidth="1"/>
    <col min="3596" max="3596" width="9" style="1" customWidth="1"/>
    <col min="3597" max="3598" width="10.453125" style="1" customWidth="1"/>
    <col min="3599" max="3599" width="9" style="1" customWidth="1"/>
    <col min="3600" max="3600" width="9.453125" style="1" customWidth="1"/>
    <col min="3601" max="3601" width="9" style="1" customWidth="1"/>
    <col min="3602" max="3602" width="10.453125" style="1" customWidth="1"/>
    <col min="3603" max="3603" width="9.453125" style="1" customWidth="1"/>
    <col min="3604" max="3604" width="10.1796875" style="1" customWidth="1"/>
    <col min="3605" max="3605" width="9.453125" style="1" customWidth="1"/>
    <col min="3606" max="3606" width="15.453125" style="1" customWidth="1"/>
    <col min="3607" max="3607" width="13.1796875" style="1" bestFit="1" customWidth="1"/>
    <col min="3608" max="3608" width="10.453125" style="1" bestFit="1" customWidth="1"/>
    <col min="3609" max="3609" width="11.453125" style="1" bestFit="1" customWidth="1"/>
    <col min="3610" max="3610" width="9.453125" style="1" bestFit="1" customWidth="1"/>
    <col min="3611" max="3611" width="11.453125" style="1" bestFit="1" customWidth="1"/>
    <col min="3612" max="3615" width="9.453125" style="1" bestFit="1" customWidth="1"/>
    <col min="3616" max="3616" width="10.453125" style="1" bestFit="1" customWidth="1"/>
    <col min="3617" max="3617" width="9.453125" style="1" bestFit="1" customWidth="1"/>
    <col min="3618" max="3621" width="9" style="1" bestFit="1" customWidth="1"/>
    <col min="3622" max="3622" width="11.453125" style="1" bestFit="1" customWidth="1"/>
    <col min="3623" max="3841" width="8.81640625" style="1"/>
    <col min="3842" max="3842" width="7.453125" style="1" customWidth="1"/>
    <col min="3843" max="3843" width="16.1796875" style="1" customWidth="1"/>
    <col min="3844" max="3844" width="9.1796875" style="1" customWidth="1"/>
    <col min="3845" max="3845" width="10.81640625" style="1" customWidth="1"/>
    <col min="3846" max="3846" width="12" style="1" customWidth="1"/>
    <col min="3847" max="3847" width="10.54296875" style="1" customWidth="1"/>
    <col min="3848" max="3848" width="8.453125" style="1" customWidth="1"/>
    <col min="3849" max="3849" width="9.453125" style="1" customWidth="1"/>
    <col min="3850" max="3851" width="10.54296875" style="1" customWidth="1"/>
    <col min="3852" max="3852" width="9" style="1" customWidth="1"/>
    <col min="3853" max="3854" width="10.453125" style="1" customWidth="1"/>
    <col min="3855" max="3855" width="9" style="1" customWidth="1"/>
    <col min="3856" max="3856" width="9.453125" style="1" customWidth="1"/>
    <col min="3857" max="3857" width="9" style="1" customWidth="1"/>
    <col min="3858" max="3858" width="10.453125" style="1" customWidth="1"/>
    <col min="3859" max="3859" width="9.453125" style="1" customWidth="1"/>
    <col min="3860" max="3860" width="10.1796875" style="1" customWidth="1"/>
    <col min="3861" max="3861" width="9.453125" style="1" customWidth="1"/>
    <col min="3862" max="3862" width="15.453125" style="1" customWidth="1"/>
    <col min="3863" max="3863" width="13.1796875" style="1" bestFit="1" customWidth="1"/>
    <col min="3864" max="3864" width="10.453125" style="1" bestFit="1" customWidth="1"/>
    <col min="3865" max="3865" width="11.453125" style="1" bestFit="1" customWidth="1"/>
    <col min="3866" max="3866" width="9.453125" style="1" bestFit="1" customWidth="1"/>
    <col min="3867" max="3867" width="11.453125" style="1" bestFit="1" customWidth="1"/>
    <col min="3868" max="3871" width="9.453125" style="1" bestFit="1" customWidth="1"/>
    <col min="3872" max="3872" width="10.453125" style="1" bestFit="1" customWidth="1"/>
    <col min="3873" max="3873" width="9.453125" style="1" bestFit="1" customWidth="1"/>
    <col min="3874" max="3877" width="9" style="1" bestFit="1" customWidth="1"/>
    <col min="3878" max="3878" width="11.453125" style="1" bestFit="1" customWidth="1"/>
    <col min="3879" max="4097" width="8.81640625" style="1"/>
    <col min="4098" max="4098" width="7.453125" style="1" customWidth="1"/>
    <col min="4099" max="4099" width="16.1796875" style="1" customWidth="1"/>
    <col min="4100" max="4100" width="9.1796875" style="1" customWidth="1"/>
    <col min="4101" max="4101" width="10.81640625" style="1" customWidth="1"/>
    <col min="4102" max="4102" width="12" style="1" customWidth="1"/>
    <col min="4103" max="4103" width="10.54296875" style="1" customWidth="1"/>
    <col min="4104" max="4104" width="8.453125" style="1" customWidth="1"/>
    <col min="4105" max="4105" width="9.453125" style="1" customWidth="1"/>
    <col min="4106" max="4107" width="10.54296875" style="1" customWidth="1"/>
    <col min="4108" max="4108" width="9" style="1" customWidth="1"/>
    <col min="4109" max="4110" width="10.453125" style="1" customWidth="1"/>
    <col min="4111" max="4111" width="9" style="1" customWidth="1"/>
    <col min="4112" max="4112" width="9.453125" style="1" customWidth="1"/>
    <col min="4113" max="4113" width="9" style="1" customWidth="1"/>
    <col min="4114" max="4114" width="10.453125" style="1" customWidth="1"/>
    <col min="4115" max="4115" width="9.453125" style="1" customWidth="1"/>
    <col min="4116" max="4116" width="10.1796875" style="1" customWidth="1"/>
    <col min="4117" max="4117" width="9.453125" style="1" customWidth="1"/>
    <col min="4118" max="4118" width="15.453125" style="1" customWidth="1"/>
    <col min="4119" max="4119" width="13.1796875" style="1" bestFit="1" customWidth="1"/>
    <col min="4120" max="4120" width="10.453125" style="1" bestFit="1" customWidth="1"/>
    <col min="4121" max="4121" width="11.453125" style="1" bestFit="1" customWidth="1"/>
    <col min="4122" max="4122" width="9.453125" style="1" bestFit="1" customWidth="1"/>
    <col min="4123" max="4123" width="11.453125" style="1" bestFit="1" customWidth="1"/>
    <col min="4124" max="4127" width="9.453125" style="1" bestFit="1" customWidth="1"/>
    <col min="4128" max="4128" width="10.453125" style="1" bestFit="1" customWidth="1"/>
    <col min="4129" max="4129" width="9.453125" style="1" bestFit="1" customWidth="1"/>
    <col min="4130" max="4133" width="9" style="1" bestFit="1" customWidth="1"/>
    <col min="4134" max="4134" width="11.453125" style="1" bestFit="1" customWidth="1"/>
    <col min="4135" max="4353" width="8.81640625" style="1"/>
    <col min="4354" max="4354" width="7.453125" style="1" customWidth="1"/>
    <col min="4355" max="4355" width="16.1796875" style="1" customWidth="1"/>
    <col min="4356" max="4356" width="9.1796875" style="1" customWidth="1"/>
    <col min="4357" max="4357" width="10.81640625" style="1" customWidth="1"/>
    <col min="4358" max="4358" width="12" style="1" customWidth="1"/>
    <col min="4359" max="4359" width="10.54296875" style="1" customWidth="1"/>
    <col min="4360" max="4360" width="8.453125" style="1" customWidth="1"/>
    <col min="4361" max="4361" width="9.453125" style="1" customWidth="1"/>
    <col min="4362" max="4363" width="10.54296875" style="1" customWidth="1"/>
    <col min="4364" max="4364" width="9" style="1" customWidth="1"/>
    <col min="4365" max="4366" width="10.453125" style="1" customWidth="1"/>
    <col min="4367" max="4367" width="9" style="1" customWidth="1"/>
    <col min="4368" max="4368" width="9.453125" style="1" customWidth="1"/>
    <col min="4369" max="4369" width="9" style="1" customWidth="1"/>
    <col min="4370" max="4370" width="10.453125" style="1" customWidth="1"/>
    <col min="4371" max="4371" width="9.453125" style="1" customWidth="1"/>
    <col min="4372" max="4372" width="10.1796875" style="1" customWidth="1"/>
    <col min="4373" max="4373" width="9.453125" style="1" customWidth="1"/>
    <col min="4374" max="4374" width="15.453125" style="1" customWidth="1"/>
    <col min="4375" max="4375" width="13.1796875" style="1" bestFit="1" customWidth="1"/>
    <col min="4376" max="4376" width="10.453125" style="1" bestFit="1" customWidth="1"/>
    <col min="4377" max="4377" width="11.453125" style="1" bestFit="1" customWidth="1"/>
    <col min="4378" max="4378" width="9.453125" style="1" bestFit="1" customWidth="1"/>
    <col min="4379" max="4379" width="11.453125" style="1" bestFit="1" customWidth="1"/>
    <col min="4380" max="4383" width="9.453125" style="1" bestFit="1" customWidth="1"/>
    <col min="4384" max="4384" width="10.453125" style="1" bestFit="1" customWidth="1"/>
    <col min="4385" max="4385" width="9.453125" style="1" bestFit="1" customWidth="1"/>
    <col min="4386" max="4389" width="9" style="1" bestFit="1" customWidth="1"/>
    <col min="4390" max="4390" width="11.453125" style="1" bestFit="1" customWidth="1"/>
    <col min="4391" max="4609" width="8.81640625" style="1"/>
    <col min="4610" max="4610" width="7.453125" style="1" customWidth="1"/>
    <col min="4611" max="4611" width="16.1796875" style="1" customWidth="1"/>
    <col min="4612" max="4612" width="9.1796875" style="1" customWidth="1"/>
    <col min="4613" max="4613" width="10.81640625" style="1" customWidth="1"/>
    <col min="4614" max="4614" width="12" style="1" customWidth="1"/>
    <col min="4615" max="4615" width="10.54296875" style="1" customWidth="1"/>
    <col min="4616" max="4616" width="8.453125" style="1" customWidth="1"/>
    <col min="4617" max="4617" width="9.453125" style="1" customWidth="1"/>
    <col min="4618" max="4619" width="10.54296875" style="1" customWidth="1"/>
    <col min="4620" max="4620" width="9" style="1" customWidth="1"/>
    <col min="4621" max="4622" width="10.453125" style="1" customWidth="1"/>
    <col min="4623" max="4623" width="9" style="1" customWidth="1"/>
    <col min="4624" max="4624" width="9.453125" style="1" customWidth="1"/>
    <col min="4625" max="4625" width="9" style="1" customWidth="1"/>
    <col min="4626" max="4626" width="10.453125" style="1" customWidth="1"/>
    <col min="4627" max="4627" width="9.453125" style="1" customWidth="1"/>
    <col min="4628" max="4628" width="10.1796875" style="1" customWidth="1"/>
    <col min="4629" max="4629" width="9.453125" style="1" customWidth="1"/>
    <col min="4630" max="4630" width="15.453125" style="1" customWidth="1"/>
    <col min="4631" max="4631" width="13.1796875" style="1" bestFit="1" customWidth="1"/>
    <col min="4632" max="4632" width="10.453125" style="1" bestFit="1" customWidth="1"/>
    <col min="4633" max="4633" width="11.453125" style="1" bestFit="1" customWidth="1"/>
    <col min="4634" max="4634" width="9.453125" style="1" bestFit="1" customWidth="1"/>
    <col min="4635" max="4635" width="11.453125" style="1" bestFit="1" customWidth="1"/>
    <col min="4636" max="4639" width="9.453125" style="1" bestFit="1" customWidth="1"/>
    <col min="4640" max="4640" width="10.453125" style="1" bestFit="1" customWidth="1"/>
    <col min="4641" max="4641" width="9.453125" style="1" bestFit="1" customWidth="1"/>
    <col min="4642" max="4645" width="9" style="1" bestFit="1" customWidth="1"/>
    <col min="4646" max="4646" width="11.453125" style="1" bestFit="1" customWidth="1"/>
    <col min="4647" max="4865" width="8.81640625" style="1"/>
    <col min="4866" max="4866" width="7.453125" style="1" customWidth="1"/>
    <col min="4867" max="4867" width="16.1796875" style="1" customWidth="1"/>
    <col min="4868" max="4868" width="9.1796875" style="1" customWidth="1"/>
    <col min="4869" max="4869" width="10.81640625" style="1" customWidth="1"/>
    <col min="4870" max="4870" width="12" style="1" customWidth="1"/>
    <col min="4871" max="4871" width="10.54296875" style="1" customWidth="1"/>
    <col min="4872" max="4872" width="8.453125" style="1" customWidth="1"/>
    <col min="4873" max="4873" width="9.453125" style="1" customWidth="1"/>
    <col min="4874" max="4875" width="10.54296875" style="1" customWidth="1"/>
    <col min="4876" max="4876" width="9" style="1" customWidth="1"/>
    <col min="4877" max="4878" width="10.453125" style="1" customWidth="1"/>
    <col min="4879" max="4879" width="9" style="1" customWidth="1"/>
    <col min="4880" max="4880" width="9.453125" style="1" customWidth="1"/>
    <col min="4881" max="4881" width="9" style="1" customWidth="1"/>
    <col min="4882" max="4882" width="10.453125" style="1" customWidth="1"/>
    <col min="4883" max="4883" width="9.453125" style="1" customWidth="1"/>
    <col min="4884" max="4884" width="10.1796875" style="1" customWidth="1"/>
    <col min="4885" max="4885" width="9.453125" style="1" customWidth="1"/>
    <col min="4886" max="4886" width="15.453125" style="1" customWidth="1"/>
    <col min="4887" max="4887" width="13.1796875" style="1" bestFit="1" customWidth="1"/>
    <col min="4888" max="4888" width="10.453125" style="1" bestFit="1" customWidth="1"/>
    <col min="4889" max="4889" width="11.453125" style="1" bestFit="1" customWidth="1"/>
    <col min="4890" max="4890" width="9.453125" style="1" bestFit="1" customWidth="1"/>
    <col min="4891" max="4891" width="11.453125" style="1" bestFit="1" customWidth="1"/>
    <col min="4892" max="4895" width="9.453125" style="1" bestFit="1" customWidth="1"/>
    <col min="4896" max="4896" width="10.453125" style="1" bestFit="1" customWidth="1"/>
    <col min="4897" max="4897" width="9.453125" style="1" bestFit="1" customWidth="1"/>
    <col min="4898" max="4901" width="9" style="1" bestFit="1" customWidth="1"/>
    <col min="4902" max="4902" width="11.453125" style="1" bestFit="1" customWidth="1"/>
    <col min="4903" max="5121" width="8.81640625" style="1"/>
    <col min="5122" max="5122" width="7.453125" style="1" customWidth="1"/>
    <col min="5123" max="5123" width="16.1796875" style="1" customWidth="1"/>
    <col min="5124" max="5124" width="9.1796875" style="1" customWidth="1"/>
    <col min="5125" max="5125" width="10.81640625" style="1" customWidth="1"/>
    <col min="5126" max="5126" width="12" style="1" customWidth="1"/>
    <col min="5127" max="5127" width="10.54296875" style="1" customWidth="1"/>
    <col min="5128" max="5128" width="8.453125" style="1" customWidth="1"/>
    <col min="5129" max="5129" width="9.453125" style="1" customWidth="1"/>
    <col min="5130" max="5131" width="10.54296875" style="1" customWidth="1"/>
    <col min="5132" max="5132" width="9" style="1" customWidth="1"/>
    <col min="5133" max="5134" width="10.453125" style="1" customWidth="1"/>
    <col min="5135" max="5135" width="9" style="1" customWidth="1"/>
    <col min="5136" max="5136" width="9.453125" style="1" customWidth="1"/>
    <col min="5137" max="5137" width="9" style="1" customWidth="1"/>
    <col min="5138" max="5138" width="10.453125" style="1" customWidth="1"/>
    <col min="5139" max="5139" width="9.453125" style="1" customWidth="1"/>
    <col min="5140" max="5140" width="10.1796875" style="1" customWidth="1"/>
    <col min="5141" max="5141" width="9.453125" style="1" customWidth="1"/>
    <col min="5142" max="5142" width="15.453125" style="1" customWidth="1"/>
    <col min="5143" max="5143" width="13.1796875" style="1" bestFit="1" customWidth="1"/>
    <col min="5144" max="5144" width="10.453125" style="1" bestFit="1" customWidth="1"/>
    <col min="5145" max="5145" width="11.453125" style="1" bestFit="1" customWidth="1"/>
    <col min="5146" max="5146" width="9.453125" style="1" bestFit="1" customWidth="1"/>
    <col min="5147" max="5147" width="11.453125" style="1" bestFit="1" customWidth="1"/>
    <col min="5148" max="5151" width="9.453125" style="1" bestFit="1" customWidth="1"/>
    <col min="5152" max="5152" width="10.453125" style="1" bestFit="1" customWidth="1"/>
    <col min="5153" max="5153" width="9.453125" style="1" bestFit="1" customWidth="1"/>
    <col min="5154" max="5157" width="9" style="1" bestFit="1" customWidth="1"/>
    <col min="5158" max="5158" width="11.453125" style="1" bestFit="1" customWidth="1"/>
    <col min="5159" max="5377" width="8.81640625" style="1"/>
    <col min="5378" max="5378" width="7.453125" style="1" customWidth="1"/>
    <col min="5379" max="5379" width="16.1796875" style="1" customWidth="1"/>
    <col min="5380" max="5380" width="9.1796875" style="1" customWidth="1"/>
    <col min="5381" max="5381" width="10.81640625" style="1" customWidth="1"/>
    <col min="5382" max="5382" width="12" style="1" customWidth="1"/>
    <col min="5383" max="5383" width="10.54296875" style="1" customWidth="1"/>
    <col min="5384" max="5384" width="8.453125" style="1" customWidth="1"/>
    <col min="5385" max="5385" width="9.453125" style="1" customWidth="1"/>
    <col min="5386" max="5387" width="10.54296875" style="1" customWidth="1"/>
    <col min="5388" max="5388" width="9" style="1" customWidth="1"/>
    <col min="5389" max="5390" width="10.453125" style="1" customWidth="1"/>
    <col min="5391" max="5391" width="9" style="1" customWidth="1"/>
    <col min="5392" max="5392" width="9.453125" style="1" customWidth="1"/>
    <col min="5393" max="5393" width="9" style="1" customWidth="1"/>
    <col min="5394" max="5394" width="10.453125" style="1" customWidth="1"/>
    <col min="5395" max="5395" width="9.453125" style="1" customWidth="1"/>
    <col min="5396" max="5396" width="10.1796875" style="1" customWidth="1"/>
    <col min="5397" max="5397" width="9.453125" style="1" customWidth="1"/>
    <col min="5398" max="5398" width="15.453125" style="1" customWidth="1"/>
    <col min="5399" max="5399" width="13.1796875" style="1" bestFit="1" customWidth="1"/>
    <col min="5400" max="5400" width="10.453125" style="1" bestFit="1" customWidth="1"/>
    <col min="5401" max="5401" width="11.453125" style="1" bestFit="1" customWidth="1"/>
    <col min="5402" max="5402" width="9.453125" style="1" bestFit="1" customWidth="1"/>
    <col min="5403" max="5403" width="11.453125" style="1" bestFit="1" customWidth="1"/>
    <col min="5404" max="5407" width="9.453125" style="1" bestFit="1" customWidth="1"/>
    <col min="5408" max="5408" width="10.453125" style="1" bestFit="1" customWidth="1"/>
    <col min="5409" max="5409" width="9.453125" style="1" bestFit="1" customWidth="1"/>
    <col min="5410" max="5413" width="9" style="1" bestFit="1" customWidth="1"/>
    <col min="5414" max="5414" width="11.453125" style="1" bestFit="1" customWidth="1"/>
    <col min="5415" max="5633" width="8.81640625" style="1"/>
    <col min="5634" max="5634" width="7.453125" style="1" customWidth="1"/>
    <col min="5635" max="5635" width="16.1796875" style="1" customWidth="1"/>
    <col min="5636" max="5636" width="9.1796875" style="1" customWidth="1"/>
    <col min="5637" max="5637" width="10.81640625" style="1" customWidth="1"/>
    <col min="5638" max="5638" width="12" style="1" customWidth="1"/>
    <col min="5639" max="5639" width="10.54296875" style="1" customWidth="1"/>
    <col min="5640" max="5640" width="8.453125" style="1" customWidth="1"/>
    <col min="5641" max="5641" width="9.453125" style="1" customWidth="1"/>
    <col min="5642" max="5643" width="10.54296875" style="1" customWidth="1"/>
    <col min="5644" max="5644" width="9" style="1" customWidth="1"/>
    <col min="5645" max="5646" width="10.453125" style="1" customWidth="1"/>
    <col min="5647" max="5647" width="9" style="1" customWidth="1"/>
    <col min="5648" max="5648" width="9.453125" style="1" customWidth="1"/>
    <col min="5649" max="5649" width="9" style="1" customWidth="1"/>
    <col min="5650" max="5650" width="10.453125" style="1" customWidth="1"/>
    <col min="5651" max="5651" width="9.453125" style="1" customWidth="1"/>
    <col min="5652" max="5652" width="10.1796875" style="1" customWidth="1"/>
    <col min="5653" max="5653" width="9.453125" style="1" customWidth="1"/>
    <col min="5654" max="5654" width="15.453125" style="1" customWidth="1"/>
    <col min="5655" max="5655" width="13.1796875" style="1" bestFit="1" customWidth="1"/>
    <col min="5656" max="5656" width="10.453125" style="1" bestFit="1" customWidth="1"/>
    <col min="5657" max="5657" width="11.453125" style="1" bestFit="1" customWidth="1"/>
    <col min="5658" max="5658" width="9.453125" style="1" bestFit="1" customWidth="1"/>
    <col min="5659" max="5659" width="11.453125" style="1" bestFit="1" customWidth="1"/>
    <col min="5660" max="5663" width="9.453125" style="1" bestFit="1" customWidth="1"/>
    <col min="5664" max="5664" width="10.453125" style="1" bestFit="1" customWidth="1"/>
    <col min="5665" max="5665" width="9.453125" style="1" bestFit="1" customWidth="1"/>
    <col min="5666" max="5669" width="9" style="1" bestFit="1" customWidth="1"/>
    <col min="5670" max="5670" width="11.453125" style="1" bestFit="1" customWidth="1"/>
    <col min="5671" max="5889" width="8.81640625" style="1"/>
    <col min="5890" max="5890" width="7.453125" style="1" customWidth="1"/>
    <col min="5891" max="5891" width="16.1796875" style="1" customWidth="1"/>
    <col min="5892" max="5892" width="9.1796875" style="1" customWidth="1"/>
    <col min="5893" max="5893" width="10.81640625" style="1" customWidth="1"/>
    <col min="5894" max="5894" width="12" style="1" customWidth="1"/>
    <col min="5895" max="5895" width="10.54296875" style="1" customWidth="1"/>
    <col min="5896" max="5896" width="8.453125" style="1" customWidth="1"/>
    <col min="5897" max="5897" width="9.453125" style="1" customWidth="1"/>
    <col min="5898" max="5899" width="10.54296875" style="1" customWidth="1"/>
    <col min="5900" max="5900" width="9" style="1" customWidth="1"/>
    <col min="5901" max="5902" width="10.453125" style="1" customWidth="1"/>
    <col min="5903" max="5903" width="9" style="1" customWidth="1"/>
    <col min="5904" max="5904" width="9.453125" style="1" customWidth="1"/>
    <col min="5905" max="5905" width="9" style="1" customWidth="1"/>
    <col min="5906" max="5906" width="10.453125" style="1" customWidth="1"/>
    <col min="5907" max="5907" width="9.453125" style="1" customWidth="1"/>
    <col min="5908" max="5908" width="10.1796875" style="1" customWidth="1"/>
    <col min="5909" max="5909" width="9.453125" style="1" customWidth="1"/>
    <col min="5910" max="5910" width="15.453125" style="1" customWidth="1"/>
    <col min="5911" max="5911" width="13.1796875" style="1" bestFit="1" customWidth="1"/>
    <col min="5912" max="5912" width="10.453125" style="1" bestFit="1" customWidth="1"/>
    <col min="5913" max="5913" width="11.453125" style="1" bestFit="1" customWidth="1"/>
    <col min="5914" max="5914" width="9.453125" style="1" bestFit="1" customWidth="1"/>
    <col min="5915" max="5915" width="11.453125" style="1" bestFit="1" customWidth="1"/>
    <col min="5916" max="5919" width="9.453125" style="1" bestFit="1" customWidth="1"/>
    <col min="5920" max="5920" width="10.453125" style="1" bestFit="1" customWidth="1"/>
    <col min="5921" max="5921" width="9.453125" style="1" bestFit="1" customWidth="1"/>
    <col min="5922" max="5925" width="9" style="1" bestFit="1" customWidth="1"/>
    <col min="5926" max="5926" width="11.453125" style="1" bestFit="1" customWidth="1"/>
    <col min="5927" max="6145" width="8.81640625" style="1"/>
    <col min="6146" max="6146" width="7.453125" style="1" customWidth="1"/>
    <col min="6147" max="6147" width="16.1796875" style="1" customWidth="1"/>
    <col min="6148" max="6148" width="9.1796875" style="1" customWidth="1"/>
    <col min="6149" max="6149" width="10.81640625" style="1" customWidth="1"/>
    <col min="6150" max="6150" width="12" style="1" customWidth="1"/>
    <col min="6151" max="6151" width="10.54296875" style="1" customWidth="1"/>
    <col min="6152" max="6152" width="8.453125" style="1" customWidth="1"/>
    <col min="6153" max="6153" width="9.453125" style="1" customWidth="1"/>
    <col min="6154" max="6155" width="10.54296875" style="1" customWidth="1"/>
    <col min="6156" max="6156" width="9" style="1" customWidth="1"/>
    <col min="6157" max="6158" width="10.453125" style="1" customWidth="1"/>
    <col min="6159" max="6159" width="9" style="1" customWidth="1"/>
    <col min="6160" max="6160" width="9.453125" style="1" customWidth="1"/>
    <col min="6161" max="6161" width="9" style="1" customWidth="1"/>
    <col min="6162" max="6162" width="10.453125" style="1" customWidth="1"/>
    <col min="6163" max="6163" width="9.453125" style="1" customWidth="1"/>
    <col min="6164" max="6164" width="10.1796875" style="1" customWidth="1"/>
    <col min="6165" max="6165" width="9.453125" style="1" customWidth="1"/>
    <col min="6166" max="6166" width="15.453125" style="1" customWidth="1"/>
    <col min="6167" max="6167" width="13.1796875" style="1" bestFit="1" customWidth="1"/>
    <col min="6168" max="6168" width="10.453125" style="1" bestFit="1" customWidth="1"/>
    <col min="6169" max="6169" width="11.453125" style="1" bestFit="1" customWidth="1"/>
    <col min="6170" max="6170" width="9.453125" style="1" bestFit="1" customWidth="1"/>
    <col min="6171" max="6171" width="11.453125" style="1" bestFit="1" customWidth="1"/>
    <col min="6172" max="6175" width="9.453125" style="1" bestFit="1" customWidth="1"/>
    <col min="6176" max="6176" width="10.453125" style="1" bestFit="1" customWidth="1"/>
    <col min="6177" max="6177" width="9.453125" style="1" bestFit="1" customWidth="1"/>
    <col min="6178" max="6181" width="9" style="1" bestFit="1" customWidth="1"/>
    <col min="6182" max="6182" width="11.453125" style="1" bestFit="1" customWidth="1"/>
    <col min="6183" max="6401" width="8.81640625" style="1"/>
    <col min="6402" max="6402" width="7.453125" style="1" customWidth="1"/>
    <col min="6403" max="6403" width="16.1796875" style="1" customWidth="1"/>
    <col min="6404" max="6404" width="9.1796875" style="1" customWidth="1"/>
    <col min="6405" max="6405" width="10.81640625" style="1" customWidth="1"/>
    <col min="6406" max="6406" width="12" style="1" customWidth="1"/>
    <col min="6407" max="6407" width="10.54296875" style="1" customWidth="1"/>
    <col min="6408" max="6408" width="8.453125" style="1" customWidth="1"/>
    <col min="6409" max="6409" width="9.453125" style="1" customWidth="1"/>
    <col min="6410" max="6411" width="10.54296875" style="1" customWidth="1"/>
    <col min="6412" max="6412" width="9" style="1" customWidth="1"/>
    <col min="6413" max="6414" width="10.453125" style="1" customWidth="1"/>
    <col min="6415" max="6415" width="9" style="1" customWidth="1"/>
    <col min="6416" max="6416" width="9.453125" style="1" customWidth="1"/>
    <col min="6417" max="6417" width="9" style="1" customWidth="1"/>
    <col min="6418" max="6418" width="10.453125" style="1" customWidth="1"/>
    <col min="6419" max="6419" width="9.453125" style="1" customWidth="1"/>
    <col min="6420" max="6420" width="10.1796875" style="1" customWidth="1"/>
    <col min="6421" max="6421" width="9.453125" style="1" customWidth="1"/>
    <col min="6422" max="6422" width="15.453125" style="1" customWidth="1"/>
    <col min="6423" max="6423" width="13.1796875" style="1" bestFit="1" customWidth="1"/>
    <col min="6424" max="6424" width="10.453125" style="1" bestFit="1" customWidth="1"/>
    <col min="6425" max="6425" width="11.453125" style="1" bestFit="1" customWidth="1"/>
    <col min="6426" max="6426" width="9.453125" style="1" bestFit="1" customWidth="1"/>
    <col min="6427" max="6427" width="11.453125" style="1" bestFit="1" customWidth="1"/>
    <col min="6428" max="6431" width="9.453125" style="1" bestFit="1" customWidth="1"/>
    <col min="6432" max="6432" width="10.453125" style="1" bestFit="1" customWidth="1"/>
    <col min="6433" max="6433" width="9.453125" style="1" bestFit="1" customWidth="1"/>
    <col min="6434" max="6437" width="9" style="1" bestFit="1" customWidth="1"/>
    <col min="6438" max="6438" width="11.453125" style="1" bestFit="1" customWidth="1"/>
    <col min="6439" max="6657" width="8.81640625" style="1"/>
    <col min="6658" max="6658" width="7.453125" style="1" customWidth="1"/>
    <col min="6659" max="6659" width="16.1796875" style="1" customWidth="1"/>
    <col min="6660" max="6660" width="9.1796875" style="1" customWidth="1"/>
    <col min="6661" max="6661" width="10.81640625" style="1" customWidth="1"/>
    <col min="6662" max="6662" width="12" style="1" customWidth="1"/>
    <col min="6663" max="6663" width="10.54296875" style="1" customWidth="1"/>
    <col min="6664" max="6664" width="8.453125" style="1" customWidth="1"/>
    <col min="6665" max="6665" width="9.453125" style="1" customWidth="1"/>
    <col min="6666" max="6667" width="10.54296875" style="1" customWidth="1"/>
    <col min="6668" max="6668" width="9" style="1" customWidth="1"/>
    <col min="6669" max="6670" width="10.453125" style="1" customWidth="1"/>
    <col min="6671" max="6671" width="9" style="1" customWidth="1"/>
    <col min="6672" max="6672" width="9.453125" style="1" customWidth="1"/>
    <col min="6673" max="6673" width="9" style="1" customWidth="1"/>
    <col min="6674" max="6674" width="10.453125" style="1" customWidth="1"/>
    <col min="6675" max="6675" width="9.453125" style="1" customWidth="1"/>
    <col min="6676" max="6676" width="10.1796875" style="1" customWidth="1"/>
    <col min="6677" max="6677" width="9.453125" style="1" customWidth="1"/>
    <col min="6678" max="6678" width="15.453125" style="1" customWidth="1"/>
    <col min="6679" max="6679" width="13.1796875" style="1" bestFit="1" customWidth="1"/>
    <col min="6680" max="6680" width="10.453125" style="1" bestFit="1" customWidth="1"/>
    <col min="6681" max="6681" width="11.453125" style="1" bestFit="1" customWidth="1"/>
    <col min="6682" max="6682" width="9.453125" style="1" bestFit="1" customWidth="1"/>
    <col min="6683" max="6683" width="11.453125" style="1" bestFit="1" customWidth="1"/>
    <col min="6684" max="6687" width="9.453125" style="1" bestFit="1" customWidth="1"/>
    <col min="6688" max="6688" width="10.453125" style="1" bestFit="1" customWidth="1"/>
    <col min="6689" max="6689" width="9.453125" style="1" bestFit="1" customWidth="1"/>
    <col min="6690" max="6693" width="9" style="1" bestFit="1" customWidth="1"/>
    <col min="6694" max="6694" width="11.453125" style="1" bestFit="1" customWidth="1"/>
    <col min="6695" max="6913" width="8.81640625" style="1"/>
    <col min="6914" max="6914" width="7.453125" style="1" customWidth="1"/>
    <col min="6915" max="6915" width="16.1796875" style="1" customWidth="1"/>
    <col min="6916" max="6916" width="9.1796875" style="1" customWidth="1"/>
    <col min="6917" max="6917" width="10.81640625" style="1" customWidth="1"/>
    <col min="6918" max="6918" width="12" style="1" customWidth="1"/>
    <col min="6919" max="6919" width="10.54296875" style="1" customWidth="1"/>
    <col min="6920" max="6920" width="8.453125" style="1" customWidth="1"/>
    <col min="6921" max="6921" width="9.453125" style="1" customWidth="1"/>
    <col min="6922" max="6923" width="10.54296875" style="1" customWidth="1"/>
    <col min="6924" max="6924" width="9" style="1" customWidth="1"/>
    <col min="6925" max="6926" width="10.453125" style="1" customWidth="1"/>
    <col min="6927" max="6927" width="9" style="1" customWidth="1"/>
    <col min="6928" max="6928" width="9.453125" style="1" customWidth="1"/>
    <col min="6929" max="6929" width="9" style="1" customWidth="1"/>
    <col min="6930" max="6930" width="10.453125" style="1" customWidth="1"/>
    <col min="6931" max="6931" width="9.453125" style="1" customWidth="1"/>
    <col min="6932" max="6932" width="10.1796875" style="1" customWidth="1"/>
    <col min="6933" max="6933" width="9.453125" style="1" customWidth="1"/>
    <col min="6934" max="6934" width="15.453125" style="1" customWidth="1"/>
    <col min="6935" max="6935" width="13.1796875" style="1" bestFit="1" customWidth="1"/>
    <col min="6936" max="6936" width="10.453125" style="1" bestFit="1" customWidth="1"/>
    <col min="6937" max="6937" width="11.453125" style="1" bestFit="1" customWidth="1"/>
    <col min="6938" max="6938" width="9.453125" style="1" bestFit="1" customWidth="1"/>
    <col min="6939" max="6939" width="11.453125" style="1" bestFit="1" customWidth="1"/>
    <col min="6940" max="6943" width="9.453125" style="1" bestFit="1" customWidth="1"/>
    <col min="6944" max="6944" width="10.453125" style="1" bestFit="1" customWidth="1"/>
    <col min="6945" max="6945" width="9.453125" style="1" bestFit="1" customWidth="1"/>
    <col min="6946" max="6949" width="9" style="1" bestFit="1" customWidth="1"/>
    <col min="6950" max="6950" width="11.453125" style="1" bestFit="1" customWidth="1"/>
    <col min="6951" max="7169" width="8.81640625" style="1"/>
    <col min="7170" max="7170" width="7.453125" style="1" customWidth="1"/>
    <col min="7171" max="7171" width="16.1796875" style="1" customWidth="1"/>
    <col min="7172" max="7172" width="9.1796875" style="1" customWidth="1"/>
    <col min="7173" max="7173" width="10.81640625" style="1" customWidth="1"/>
    <col min="7174" max="7174" width="12" style="1" customWidth="1"/>
    <col min="7175" max="7175" width="10.54296875" style="1" customWidth="1"/>
    <col min="7176" max="7176" width="8.453125" style="1" customWidth="1"/>
    <col min="7177" max="7177" width="9.453125" style="1" customWidth="1"/>
    <col min="7178" max="7179" width="10.54296875" style="1" customWidth="1"/>
    <col min="7180" max="7180" width="9" style="1" customWidth="1"/>
    <col min="7181" max="7182" width="10.453125" style="1" customWidth="1"/>
    <col min="7183" max="7183" width="9" style="1" customWidth="1"/>
    <col min="7184" max="7184" width="9.453125" style="1" customWidth="1"/>
    <col min="7185" max="7185" width="9" style="1" customWidth="1"/>
    <col min="7186" max="7186" width="10.453125" style="1" customWidth="1"/>
    <col min="7187" max="7187" width="9.453125" style="1" customWidth="1"/>
    <col min="7188" max="7188" width="10.1796875" style="1" customWidth="1"/>
    <col min="7189" max="7189" width="9.453125" style="1" customWidth="1"/>
    <col min="7190" max="7190" width="15.453125" style="1" customWidth="1"/>
    <col min="7191" max="7191" width="13.1796875" style="1" bestFit="1" customWidth="1"/>
    <col min="7192" max="7192" width="10.453125" style="1" bestFit="1" customWidth="1"/>
    <col min="7193" max="7193" width="11.453125" style="1" bestFit="1" customWidth="1"/>
    <col min="7194" max="7194" width="9.453125" style="1" bestFit="1" customWidth="1"/>
    <col min="7195" max="7195" width="11.453125" style="1" bestFit="1" customWidth="1"/>
    <col min="7196" max="7199" width="9.453125" style="1" bestFit="1" customWidth="1"/>
    <col min="7200" max="7200" width="10.453125" style="1" bestFit="1" customWidth="1"/>
    <col min="7201" max="7201" width="9.453125" style="1" bestFit="1" customWidth="1"/>
    <col min="7202" max="7205" width="9" style="1" bestFit="1" customWidth="1"/>
    <col min="7206" max="7206" width="11.453125" style="1" bestFit="1" customWidth="1"/>
    <col min="7207" max="7425" width="8.81640625" style="1"/>
    <col min="7426" max="7426" width="7.453125" style="1" customWidth="1"/>
    <col min="7427" max="7427" width="16.1796875" style="1" customWidth="1"/>
    <col min="7428" max="7428" width="9.1796875" style="1" customWidth="1"/>
    <col min="7429" max="7429" width="10.81640625" style="1" customWidth="1"/>
    <col min="7430" max="7430" width="12" style="1" customWidth="1"/>
    <col min="7431" max="7431" width="10.54296875" style="1" customWidth="1"/>
    <col min="7432" max="7432" width="8.453125" style="1" customWidth="1"/>
    <col min="7433" max="7433" width="9.453125" style="1" customWidth="1"/>
    <col min="7434" max="7435" width="10.54296875" style="1" customWidth="1"/>
    <col min="7436" max="7436" width="9" style="1" customWidth="1"/>
    <col min="7437" max="7438" width="10.453125" style="1" customWidth="1"/>
    <col min="7439" max="7439" width="9" style="1" customWidth="1"/>
    <col min="7440" max="7440" width="9.453125" style="1" customWidth="1"/>
    <col min="7441" max="7441" width="9" style="1" customWidth="1"/>
    <col min="7442" max="7442" width="10.453125" style="1" customWidth="1"/>
    <col min="7443" max="7443" width="9.453125" style="1" customWidth="1"/>
    <col min="7444" max="7444" width="10.1796875" style="1" customWidth="1"/>
    <col min="7445" max="7445" width="9.453125" style="1" customWidth="1"/>
    <col min="7446" max="7446" width="15.453125" style="1" customWidth="1"/>
    <col min="7447" max="7447" width="13.1796875" style="1" bestFit="1" customWidth="1"/>
    <col min="7448" max="7448" width="10.453125" style="1" bestFit="1" customWidth="1"/>
    <col min="7449" max="7449" width="11.453125" style="1" bestFit="1" customWidth="1"/>
    <col min="7450" max="7450" width="9.453125" style="1" bestFit="1" customWidth="1"/>
    <col min="7451" max="7451" width="11.453125" style="1" bestFit="1" customWidth="1"/>
    <col min="7452" max="7455" width="9.453125" style="1" bestFit="1" customWidth="1"/>
    <col min="7456" max="7456" width="10.453125" style="1" bestFit="1" customWidth="1"/>
    <col min="7457" max="7457" width="9.453125" style="1" bestFit="1" customWidth="1"/>
    <col min="7458" max="7461" width="9" style="1" bestFit="1" customWidth="1"/>
    <col min="7462" max="7462" width="11.453125" style="1" bestFit="1" customWidth="1"/>
    <col min="7463" max="7681" width="8.81640625" style="1"/>
    <col min="7682" max="7682" width="7.453125" style="1" customWidth="1"/>
    <col min="7683" max="7683" width="16.1796875" style="1" customWidth="1"/>
    <col min="7684" max="7684" width="9.1796875" style="1" customWidth="1"/>
    <col min="7685" max="7685" width="10.81640625" style="1" customWidth="1"/>
    <col min="7686" max="7686" width="12" style="1" customWidth="1"/>
    <col min="7687" max="7687" width="10.54296875" style="1" customWidth="1"/>
    <col min="7688" max="7688" width="8.453125" style="1" customWidth="1"/>
    <col min="7689" max="7689" width="9.453125" style="1" customWidth="1"/>
    <col min="7690" max="7691" width="10.54296875" style="1" customWidth="1"/>
    <col min="7692" max="7692" width="9" style="1" customWidth="1"/>
    <col min="7693" max="7694" width="10.453125" style="1" customWidth="1"/>
    <col min="7695" max="7695" width="9" style="1" customWidth="1"/>
    <col min="7696" max="7696" width="9.453125" style="1" customWidth="1"/>
    <col min="7697" max="7697" width="9" style="1" customWidth="1"/>
    <col min="7698" max="7698" width="10.453125" style="1" customWidth="1"/>
    <col min="7699" max="7699" width="9.453125" style="1" customWidth="1"/>
    <col min="7700" max="7700" width="10.1796875" style="1" customWidth="1"/>
    <col min="7701" max="7701" width="9.453125" style="1" customWidth="1"/>
    <col min="7702" max="7702" width="15.453125" style="1" customWidth="1"/>
    <col min="7703" max="7703" width="13.1796875" style="1" bestFit="1" customWidth="1"/>
    <col min="7704" max="7704" width="10.453125" style="1" bestFit="1" customWidth="1"/>
    <col min="7705" max="7705" width="11.453125" style="1" bestFit="1" customWidth="1"/>
    <col min="7706" max="7706" width="9.453125" style="1" bestFit="1" customWidth="1"/>
    <col min="7707" max="7707" width="11.453125" style="1" bestFit="1" customWidth="1"/>
    <col min="7708" max="7711" width="9.453125" style="1" bestFit="1" customWidth="1"/>
    <col min="7712" max="7712" width="10.453125" style="1" bestFit="1" customWidth="1"/>
    <col min="7713" max="7713" width="9.453125" style="1" bestFit="1" customWidth="1"/>
    <col min="7714" max="7717" width="9" style="1" bestFit="1" customWidth="1"/>
    <col min="7718" max="7718" width="11.453125" style="1" bestFit="1" customWidth="1"/>
    <col min="7719" max="7937" width="8.81640625" style="1"/>
    <col min="7938" max="7938" width="7.453125" style="1" customWidth="1"/>
    <col min="7939" max="7939" width="16.1796875" style="1" customWidth="1"/>
    <col min="7940" max="7940" width="9.1796875" style="1" customWidth="1"/>
    <col min="7941" max="7941" width="10.81640625" style="1" customWidth="1"/>
    <col min="7942" max="7942" width="12" style="1" customWidth="1"/>
    <col min="7943" max="7943" width="10.54296875" style="1" customWidth="1"/>
    <col min="7944" max="7944" width="8.453125" style="1" customWidth="1"/>
    <col min="7945" max="7945" width="9.453125" style="1" customWidth="1"/>
    <col min="7946" max="7947" width="10.54296875" style="1" customWidth="1"/>
    <col min="7948" max="7948" width="9" style="1" customWidth="1"/>
    <col min="7949" max="7950" width="10.453125" style="1" customWidth="1"/>
    <col min="7951" max="7951" width="9" style="1" customWidth="1"/>
    <col min="7952" max="7952" width="9.453125" style="1" customWidth="1"/>
    <col min="7953" max="7953" width="9" style="1" customWidth="1"/>
    <col min="7954" max="7954" width="10.453125" style="1" customWidth="1"/>
    <col min="7955" max="7955" width="9.453125" style="1" customWidth="1"/>
    <col min="7956" max="7956" width="10.1796875" style="1" customWidth="1"/>
    <col min="7957" max="7957" width="9.453125" style="1" customWidth="1"/>
    <col min="7958" max="7958" width="15.453125" style="1" customWidth="1"/>
    <col min="7959" max="7959" width="13.1796875" style="1" bestFit="1" customWidth="1"/>
    <col min="7960" max="7960" width="10.453125" style="1" bestFit="1" customWidth="1"/>
    <col min="7961" max="7961" width="11.453125" style="1" bestFit="1" customWidth="1"/>
    <col min="7962" max="7962" width="9.453125" style="1" bestFit="1" customWidth="1"/>
    <col min="7963" max="7963" width="11.453125" style="1" bestFit="1" customWidth="1"/>
    <col min="7964" max="7967" width="9.453125" style="1" bestFit="1" customWidth="1"/>
    <col min="7968" max="7968" width="10.453125" style="1" bestFit="1" customWidth="1"/>
    <col min="7969" max="7969" width="9.453125" style="1" bestFit="1" customWidth="1"/>
    <col min="7970" max="7973" width="9" style="1" bestFit="1" customWidth="1"/>
    <col min="7974" max="7974" width="11.453125" style="1" bestFit="1" customWidth="1"/>
    <col min="7975" max="8193" width="8.81640625" style="1"/>
    <col min="8194" max="8194" width="7.453125" style="1" customWidth="1"/>
    <col min="8195" max="8195" width="16.1796875" style="1" customWidth="1"/>
    <col min="8196" max="8196" width="9.1796875" style="1" customWidth="1"/>
    <col min="8197" max="8197" width="10.81640625" style="1" customWidth="1"/>
    <col min="8198" max="8198" width="12" style="1" customWidth="1"/>
    <col min="8199" max="8199" width="10.54296875" style="1" customWidth="1"/>
    <col min="8200" max="8200" width="8.453125" style="1" customWidth="1"/>
    <col min="8201" max="8201" width="9.453125" style="1" customWidth="1"/>
    <col min="8202" max="8203" width="10.54296875" style="1" customWidth="1"/>
    <col min="8204" max="8204" width="9" style="1" customWidth="1"/>
    <col min="8205" max="8206" width="10.453125" style="1" customWidth="1"/>
    <col min="8207" max="8207" width="9" style="1" customWidth="1"/>
    <col min="8208" max="8208" width="9.453125" style="1" customWidth="1"/>
    <col min="8209" max="8209" width="9" style="1" customWidth="1"/>
    <col min="8210" max="8210" width="10.453125" style="1" customWidth="1"/>
    <col min="8211" max="8211" width="9.453125" style="1" customWidth="1"/>
    <col min="8212" max="8212" width="10.1796875" style="1" customWidth="1"/>
    <col min="8213" max="8213" width="9.453125" style="1" customWidth="1"/>
    <col min="8214" max="8214" width="15.453125" style="1" customWidth="1"/>
    <col min="8215" max="8215" width="13.1796875" style="1" bestFit="1" customWidth="1"/>
    <col min="8216" max="8216" width="10.453125" style="1" bestFit="1" customWidth="1"/>
    <col min="8217" max="8217" width="11.453125" style="1" bestFit="1" customWidth="1"/>
    <col min="8218" max="8218" width="9.453125" style="1" bestFit="1" customWidth="1"/>
    <col min="8219" max="8219" width="11.453125" style="1" bestFit="1" customWidth="1"/>
    <col min="8220" max="8223" width="9.453125" style="1" bestFit="1" customWidth="1"/>
    <col min="8224" max="8224" width="10.453125" style="1" bestFit="1" customWidth="1"/>
    <col min="8225" max="8225" width="9.453125" style="1" bestFit="1" customWidth="1"/>
    <col min="8226" max="8229" width="9" style="1" bestFit="1" customWidth="1"/>
    <col min="8230" max="8230" width="11.453125" style="1" bestFit="1" customWidth="1"/>
    <col min="8231" max="8449" width="8.81640625" style="1"/>
    <col min="8450" max="8450" width="7.453125" style="1" customWidth="1"/>
    <col min="8451" max="8451" width="16.1796875" style="1" customWidth="1"/>
    <col min="8452" max="8452" width="9.1796875" style="1" customWidth="1"/>
    <col min="8453" max="8453" width="10.81640625" style="1" customWidth="1"/>
    <col min="8454" max="8454" width="12" style="1" customWidth="1"/>
    <col min="8455" max="8455" width="10.54296875" style="1" customWidth="1"/>
    <col min="8456" max="8456" width="8.453125" style="1" customWidth="1"/>
    <col min="8457" max="8457" width="9.453125" style="1" customWidth="1"/>
    <col min="8458" max="8459" width="10.54296875" style="1" customWidth="1"/>
    <col min="8460" max="8460" width="9" style="1" customWidth="1"/>
    <col min="8461" max="8462" width="10.453125" style="1" customWidth="1"/>
    <col min="8463" max="8463" width="9" style="1" customWidth="1"/>
    <col min="8464" max="8464" width="9.453125" style="1" customWidth="1"/>
    <col min="8465" max="8465" width="9" style="1" customWidth="1"/>
    <col min="8466" max="8466" width="10.453125" style="1" customWidth="1"/>
    <col min="8467" max="8467" width="9.453125" style="1" customWidth="1"/>
    <col min="8468" max="8468" width="10.1796875" style="1" customWidth="1"/>
    <col min="8469" max="8469" width="9.453125" style="1" customWidth="1"/>
    <col min="8470" max="8470" width="15.453125" style="1" customWidth="1"/>
    <col min="8471" max="8471" width="13.1796875" style="1" bestFit="1" customWidth="1"/>
    <col min="8472" max="8472" width="10.453125" style="1" bestFit="1" customWidth="1"/>
    <col min="8473" max="8473" width="11.453125" style="1" bestFit="1" customWidth="1"/>
    <col min="8474" max="8474" width="9.453125" style="1" bestFit="1" customWidth="1"/>
    <col min="8475" max="8475" width="11.453125" style="1" bestFit="1" customWidth="1"/>
    <col min="8476" max="8479" width="9.453125" style="1" bestFit="1" customWidth="1"/>
    <col min="8480" max="8480" width="10.453125" style="1" bestFit="1" customWidth="1"/>
    <col min="8481" max="8481" width="9.453125" style="1" bestFit="1" customWidth="1"/>
    <col min="8482" max="8485" width="9" style="1" bestFit="1" customWidth="1"/>
    <col min="8486" max="8486" width="11.453125" style="1" bestFit="1" customWidth="1"/>
    <col min="8487" max="8705" width="8.81640625" style="1"/>
    <col min="8706" max="8706" width="7.453125" style="1" customWidth="1"/>
    <col min="8707" max="8707" width="16.1796875" style="1" customWidth="1"/>
    <col min="8708" max="8708" width="9.1796875" style="1" customWidth="1"/>
    <col min="8709" max="8709" width="10.81640625" style="1" customWidth="1"/>
    <col min="8710" max="8710" width="12" style="1" customWidth="1"/>
    <col min="8711" max="8711" width="10.54296875" style="1" customWidth="1"/>
    <col min="8712" max="8712" width="8.453125" style="1" customWidth="1"/>
    <col min="8713" max="8713" width="9.453125" style="1" customWidth="1"/>
    <col min="8714" max="8715" width="10.54296875" style="1" customWidth="1"/>
    <col min="8716" max="8716" width="9" style="1" customWidth="1"/>
    <col min="8717" max="8718" width="10.453125" style="1" customWidth="1"/>
    <col min="8719" max="8719" width="9" style="1" customWidth="1"/>
    <col min="8720" max="8720" width="9.453125" style="1" customWidth="1"/>
    <col min="8721" max="8721" width="9" style="1" customWidth="1"/>
    <col min="8722" max="8722" width="10.453125" style="1" customWidth="1"/>
    <col min="8723" max="8723" width="9.453125" style="1" customWidth="1"/>
    <col min="8724" max="8724" width="10.1796875" style="1" customWidth="1"/>
    <col min="8725" max="8725" width="9.453125" style="1" customWidth="1"/>
    <col min="8726" max="8726" width="15.453125" style="1" customWidth="1"/>
    <col min="8727" max="8727" width="13.1796875" style="1" bestFit="1" customWidth="1"/>
    <col min="8728" max="8728" width="10.453125" style="1" bestFit="1" customWidth="1"/>
    <col min="8729" max="8729" width="11.453125" style="1" bestFit="1" customWidth="1"/>
    <col min="8730" max="8730" width="9.453125" style="1" bestFit="1" customWidth="1"/>
    <col min="8731" max="8731" width="11.453125" style="1" bestFit="1" customWidth="1"/>
    <col min="8732" max="8735" width="9.453125" style="1" bestFit="1" customWidth="1"/>
    <col min="8736" max="8736" width="10.453125" style="1" bestFit="1" customWidth="1"/>
    <col min="8737" max="8737" width="9.453125" style="1" bestFit="1" customWidth="1"/>
    <col min="8738" max="8741" width="9" style="1" bestFit="1" customWidth="1"/>
    <col min="8742" max="8742" width="11.453125" style="1" bestFit="1" customWidth="1"/>
    <col min="8743" max="8961" width="8.81640625" style="1"/>
    <col min="8962" max="8962" width="7.453125" style="1" customWidth="1"/>
    <col min="8963" max="8963" width="16.1796875" style="1" customWidth="1"/>
    <col min="8964" max="8964" width="9.1796875" style="1" customWidth="1"/>
    <col min="8965" max="8965" width="10.81640625" style="1" customWidth="1"/>
    <col min="8966" max="8966" width="12" style="1" customWidth="1"/>
    <col min="8967" max="8967" width="10.54296875" style="1" customWidth="1"/>
    <col min="8968" max="8968" width="8.453125" style="1" customWidth="1"/>
    <col min="8969" max="8969" width="9.453125" style="1" customWidth="1"/>
    <col min="8970" max="8971" width="10.54296875" style="1" customWidth="1"/>
    <col min="8972" max="8972" width="9" style="1" customWidth="1"/>
    <col min="8973" max="8974" width="10.453125" style="1" customWidth="1"/>
    <col min="8975" max="8975" width="9" style="1" customWidth="1"/>
    <col min="8976" max="8976" width="9.453125" style="1" customWidth="1"/>
    <col min="8977" max="8977" width="9" style="1" customWidth="1"/>
    <col min="8978" max="8978" width="10.453125" style="1" customWidth="1"/>
    <col min="8979" max="8979" width="9.453125" style="1" customWidth="1"/>
    <col min="8980" max="8980" width="10.1796875" style="1" customWidth="1"/>
    <col min="8981" max="8981" width="9.453125" style="1" customWidth="1"/>
    <col min="8982" max="8982" width="15.453125" style="1" customWidth="1"/>
    <col min="8983" max="8983" width="13.1796875" style="1" bestFit="1" customWidth="1"/>
    <col min="8984" max="8984" width="10.453125" style="1" bestFit="1" customWidth="1"/>
    <col min="8985" max="8985" width="11.453125" style="1" bestFit="1" customWidth="1"/>
    <col min="8986" max="8986" width="9.453125" style="1" bestFit="1" customWidth="1"/>
    <col min="8987" max="8987" width="11.453125" style="1" bestFit="1" customWidth="1"/>
    <col min="8988" max="8991" width="9.453125" style="1" bestFit="1" customWidth="1"/>
    <col min="8992" max="8992" width="10.453125" style="1" bestFit="1" customWidth="1"/>
    <col min="8993" max="8993" width="9.453125" style="1" bestFit="1" customWidth="1"/>
    <col min="8994" max="8997" width="9" style="1" bestFit="1" customWidth="1"/>
    <col min="8998" max="8998" width="11.453125" style="1" bestFit="1" customWidth="1"/>
    <col min="8999" max="9217" width="8.81640625" style="1"/>
    <col min="9218" max="9218" width="7.453125" style="1" customWidth="1"/>
    <col min="9219" max="9219" width="16.1796875" style="1" customWidth="1"/>
    <col min="9220" max="9220" width="9.1796875" style="1" customWidth="1"/>
    <col min="9221" max="9221" width="10.81640625" style="1" customWidth="1"/>
    <col min="9222" max="9222" width="12" style="1" customWidth="1"/>
    <col min="9223" max="9223" width="10.54296875" style="1" customWidth="1"/>
    <col min="9224" max="9224" width="8.453125" style="1" customWidth="1"/>
    <col min="9225" max="9225" width="9.453125" style="1" customWidth="1"/>
    <col min="9226" max="9227" width="10.54296875" style="1" customWidth="1"/>
    <col min="9228" max="9228" width="9" style="1" customWidth="1"/>
    <col min="9229" max="9230" width="10.453125" style="1" customWidth="1"/>
    <col min="9231" max="9231" width="9" style="1" customWidth="1"/>
    <col min="9232" max="9232" width="9.453125" style="1" customWidth="1"/>
    <col min="9233" max="9233" width="9" style="1" customWidth="1"/>
    <col min="9234" max="9234" width="10.453125" style="1" customWidth="1"/>
    <col min="9235" max="9235" width="9.453125" style="1" customWidth="1"/>
    <col min="9236" max="9236" width="10.1796875" style="1" customWidth="1"/>
    <col min="9237" max="9237" width="9.453125" style="1" customWidth="1"/>
    <col min="9238" max="9238" width="15.453125" style="1" customWidth="1"/>
    <col min="9239" max="9239" width="13.1796875" style="1" bestFit="1" customWidth="1"/>
    <col min="9240" max="9240" width="10.453125" style="1" bestFit="1" customWidth="1"/>
    <col min="9241" max="9241" width="11.453125" style="1" bestFit="1" customWidth="1"/>
    <col min="9242" max="9242" width="9.453125" style="1" bestFit="1" customWidth="1"/>
    <col min="9243" max="9243" width="11.453125" style="1" bestFit="1" customWidth="1"/>
    <col min="9244" max="9247" width="9.453125" style="1" bestFit="1" customWidth="1"/>
    <col min="9248" max="9248" width="10.453125" style="1" bestFit="1" customWidth="1"/>
    <col min="9249" max="9249" width="9.453125" style="1" bestFit="1" customWidth="1"/>
    <col min="9250" max="9253" width="9" style="1" bestFit="1" customWidth="1"/>
    <col min="9254" max="9254" width="11.453125" style="1" bestFit="1" customWidth="1"/>
    <col min="9255" max="9473" width="8.81640625" style="1"/>
    <col min="9474" max="9474" width="7.453125" style="1" customWidth="1"/>
    <col min="9475" max="9475" width="16.1796875" style="1" customWidth="1"/>
    <col min="9476" max="9476" width="9.1796875" style="1" customWidth="1"/>
    <col min="9477" max="9477" width="10.81640625" style="1" customWidth="1"/>
    <col min="9478" max="9478" width="12" style="1" customWidth="1"/>
    <col min="9479" max="9479" width="10.54296875" style="1" customWidth="1"/>
    <col min="9480" max="9480" width="8.453125" style="1" customWidth="1"/>
    <col min="9481" max="9481" width="9.453125" style="1" customWidth="1"/>
    <col min="9482" max="9483" width="10.54296875" style="1" customWidth="1"/>
    <col min="9484" max="9484" width="9" style="1" customWidth="1"/>
    <col min="9485" max="9486" width="10.453125" style="1" customWidth="1"/>
    <col min="9487" max="9487" width="9" style="1" customWidth="1"/>
    <col min="9488" max="9488" width="9.453125" style="1" customWidth="1"/>
    <col min="9489" max="9489" width="9" style="1" customWidth="1"/>
    <col min="9490" max="9490" width="10.453125" style="1" customWidth="1"/>
    <col min="9491" max="9491" width="9.453125" style="1" customWidth="1"/>
    <col min="9492" max="9492" width="10.1796875" style="1" customWidth="1"/>
    <col min="9493" max="9493" width="9.453125" style="1" customWidth="1"/>
    <col min="9494" max="9494" width="15.453125" style="1" customWidth="1"/>
    <col min="9495" max="9495" width="13.1796875" style="1" bestFit="1" customWidth="1"/>
    <col min="9496" max="9496" width="10.453125" style="1" bestFit="1" customWidth="1"/>
    <col min="9497" max="9497" width="11.453125" style="1" bestFit="1" customWidth="1"/>
    <col min="9498" max="9498" width="9.453125" style="1" bestFit="1" customWidth="1"/>
    <col min="9499" max="9499" width="11.453125" style="1" bestFit="1" customWidth="1"/>
    <col min="9500" max="9503" width="9.453125" style="1" bestFit="1" customWidth="1"/>
    <col min="9504" max="9504" width="10.453125" style="1" bestFit="1" customWidth="1"/>
    <col min="9505" max="9505" width="9.453125" style="1" bestFit="1" customWidth="1"/>
    <col min="9506" max="9509" width="9" style="1" bestFit="1" customWidth="1"/>
    <col min="9510" max="9510" width="11.453125" style="1" bestFit="1" customWidth="1"/>
    <col min="9511" max="9729" width="8.81640625" style="1"/>
    <col min="9730" max="9730" width="7.453125" style="1" customWidth="1"/>
    <col min="9731" max="9731" width="16.1796875" style="1" customWidth="1"/>
    <col min="9732" max="9732" width="9.1796875" style="1" customWidth="1"/>
    <col min="9733" max="9733" width="10.81640625" style="1" customWidth="1"/>
    <col min="9734" max="9734" width="12" style="1" customWidth="1"/>
    <col min="9735" max="9735" width="10.54296875" style="1" customWidth="1"/>
    <col min="9736" max="9736" width="8.453125" style="1" customWidth="1"/>
    <col min="9737" max="9737" width="9.453125" style="1" customWidth="1"/>
    <col min="9738" max="9739" width="10.54296875" style="1" customWidth="1"/>
    <col min="9740" max="9740" width="9" style="1" customWidth="1"/>
    <col min="9741" max="9742" width="10.453125" style="1" customWidth="1"/>
    <col min="9743" max="9743" width="9" style="1" customWidth="1"/>
    <col min="9744" max="9744" width="9.453125" style="1" customWidth="1"/>
    <col min="9745" max="9745" width="9" style="1" customWidth="1"/>
    <col min="9746" max="9746" width="10.453125" style="1" customWidth="1"/>
    <col min="9747" max="9747" width="9.453125" style="1" customWidth="1"/>
    <col min="9748" max="9748" width="10.1796875" style="1" customWidth="1"/>
    <col min="9749" max="9749" width="9.453125" style="1" customWidth="1"/>
    <col min="9750" max="9750" width="15.453125" style="1" customWidth="1"/>
    <col min="9751" max="9751" width="13.1796875" style="1" bestFit="1" customWidth="1"/>
    <col min="9752" max="9752" width="10.453125" style="1" bestFit="1" customWidth="1"/>
    <col min="9753" max="9753" width="11.453125" style="1" bestFit="1" customWidth="1"/>
    <col min="9754" max="9754" width="9.453125" style="1" bestFit="1" customWidth="1"/>
    <col min="9755" max="9755" width="11.453125" style="1" bestFit="1" customWidth="1"/>
    <col min="9756" max="9759" width="9.453125" style="1" bestFit="1" customWidth="1"/>
    <col min="9760" max="9760" width="10.453125" style="1" bestFit="1" customWidth="1"/>
    <col min="9761" max="9761" width="9.453125" style="1" bestFit="1" customWidth="1"/>
    <col min="9762" max="9765" width="9" style="1" bestFit="1" customWidth="1"/>
    <col min="9766" max="9766" width="11.453125" style="1" bestFit="1" customWidth="1"/>
    <col min="9767" max="9985" width="8.81640625" style="1"/>
    <col min="9986" max="9986" width="7.453125" style="1" customWidth="1"/>
    <col min="9987" max="9987" width="16.1796875" style="1" customWidth="1"/>
    <col min="9988" max="9988" width="9.1796875" style="1" customWidth="1"/>
    <col min="9989" max="9989" width="10.81640625" style="1" customWidth="1"/>
    <col min="9990" max="9990" width="12" style="1" customWidth="1"/>
    <col min="9991" max="9991" width="10.54296875" style="1" customWidth="1"/>
    <col min="9992" max="9992" width="8.453125" style="1" customWidth="1"/>
    <col min="9993" max="9993" width="9.453125" style="1" customWidth="1"/>
    <col min="9994" max="9995" width="10.54296875" style="1" customWidth="1"/>
    <col min="9996" max="9996" width="9" style="1" customWidth="1"/>
    <col min="9997" max="9998" width="10.453125" style="1" customWidth="1"/>
    <col min="9999" max="9999" width="9" style="1" customWidth="1"/>
    <col min="10000" max="10000" width="9.453125" style="1" customWidth="1"/>
    <col min="10001" max="10001" width="9" style="1" customWidth="1"/>
    <col min="10002" max="10002" width="10.453125" style="1" customWidth="1"/>
    <col min="10003" max="10003" width="9.453125" style="1" customWidth="1"/>
    <col min="10004" max="10004" width="10.1796875" style="1" customWidth="1"/>
    <col min="10005" max="10005" width="9.453125" style="1" customWidth="1"/>
    <col min="10006" max="10006" width="15.453125" style="1" customWidth="1"/>
    <col min="10007" max="10007" width="13.1796875" style="1" bestFit="1" customWidth="1"/>
    <col min="10008" max="10008" width="10.453125" style="1" bestFit="1" customWidth="1"/>
    <col min="10009" max="10009" width="11.453125" style="1" bestFit="1" customWidth="1"/>
    <col min="10010" max="10010" width="9.453125" style="1" bestFit="1" customWidth="1"/>
    <col min="10011" max="10011" width="11.453125" style="1" bestFit="1" customWidth="1"/>
    <col min="10012" max="10015" width="9.453125" style="1" bestFit="1" customWidth="1"/>
    <col min="10016" max="10016" width="10.453125" style="1" bestFit="1" customWidth="1"/>
    <col min="10017" max="10017" width="9.453125" style="1" bestFit="1" customWidth="1"/>
    <col min="10018" max="10021" width="9" style="1" bestFit="1" customWidth="1"/>
    <col min="10022" max="10022" width="11.453125" style="1" bestFit="1" customWidth="1"/>
    <col min="10023" max="10241" width="8.81640625" style="1"/>
    <col min="10242" max="10242" width="7.453125" style="1" customWidth="1"/>
    <col min="10243" max="10243" width="16.1796875" style="1" customWidth="1"/>
    <col min="10244" max="10244" width="9.1796875" style="1" customWidth="1"/>
    <col min="10245" max="10245" width="10.81640625" style="1" customWidth="1"/>
    <col min="10246" max="10246" width="12" style="1" customWidth="1"/>
    <col min="10247" max="10247" width="10.54296875" style="1" customWidth="1"/>
    <col min="10248" max="10248" width="8.453125" style="1" customWidth="1"/>
    <col min="10249" max="10249" width="9.453125" style="1" customWidth="1"/>
    <col min="10250" max="10251" width="10.54296875" style="1" customWidth="1"/>
    <col min="10252" max="10252" width="9" style="1" customWidth="1"/>
    <col min="10253" max="10254" width="10.453125" style="1" customWidth="1"/>
    <col min="10255" max="10255" width="9" style="1" customWidth="1"/>
    <col min="10256" max="10256" width="9.453125" style="1" customWidth="1"/>
    <col min="10257" max="10257" width="9" style="1" customWidth="1"/>
    <col min="10258" max="10258" width="10.453125" style="1" customWidth="1"/>
    <col min="10259" max="10259" width="9.453125" style="1" customWidth="1"/>
    <col min="10260" max="10260" width="10.1796875" style="1" customWidth="1"/>
    <col min="10261" max="10261" width="9.453125" style="1" customWidth="1"/>
    <col min="10262" max="10262" width="15.453125" style="1" customWidth="1"/>
    <col min="10263" max="10263" width="13.1796875" style="1" bestFit="1" customWidth="1"/>
    <col min="10264" max="10264" width="10.453125" style="1" bestFit="1" customWidth="1"/>
    <col min="10265" max="10265" width="11.453125" style="1" bestFit="1" customWidth="1"/>
    <col min="10266" max="10266" width="9.453125" style="1" bestFit="1" customWidth="1"/>
    <col min="10267" max="10267" width="11.453125" style="1" bestFit="1" customWidth="1"/>
    <col min="10268" max="10271" width="9.453125" style="1" bestFit="1" customWidth="1"/>
    <col min="10272" max="10272" width="10.453125" style="1" bestFit="1" customWidth="1"/>
    <col min="10273" max="10273" width="9.453125" style="1" bestFit="1" customWidth="1"/>
    <col min="10274" max="10277" width="9" style="1" bestFit="1" customWidth="1"/>
    <col min="10278" max="10278" width="11.453125" style="1" bestFit="1" customWidth="1"/>
    <col min="10279" max="10497" width="8.81640625" style="1"/>
    <col min="10498" max="10498" width="7.453125" style="1" customWidth="1"/>
    <col min="10499" max="10499" width="16.1796875" style="1" customWidth="1"/>
    <col min="10500" max="10500" width="9.1796875" style="1" customWidth="1"/>
    <col min="10501" max="10501" width="10.81640625" style="1" customWidth="1"/>
    <col min="10502" max="10502" width="12" style="1" customWidth="1"/>
    <col min="10503" max="10503" width="10.54296875" style="1" customWidth="1"/>
    <col min="10504" max="10504" width="8.453125" style="1" customWidth="1"/>
    <col min="10505" max="10505" width="9.453125" style="1" customWidth="1"/>
    <col min="10506" max="10507" width="10.54296875" style="1" customWidth="1"/>
    <col min="10508" max="10508" width="9" style="1" customWidth="1"/>
    <col min="10509" max="10510" width="10.453125" style="1" customWidth="1"/>
    <col min="10511" max="10511" width="9" style="1" customWidth="1"/>
    <col min="10512" max="10512" width="9.453125" style="1" customWidth="1"/>
    <col min="10513" max="10513" width="9" style="1" customWidth="1"/>
    <col min="10514" max="10514" width="10.453125" style="1" customWidth="1"/>
    <col min="10515" max="10515" width="9.453125" style="1" customWidth="1"/>
    <col min="10516" max="10516" width="10.1796875" style="1" customWidth="1"/>
    <col min="10517" max="10517" width="9.453125" style="1" customWidth="1"/>
    <col min="10518" max="10518" width="15.453125" style="1" customWidth="1"/>
    <col min="10519" max="10519" width="13.1796875" style="1" bestFit="1" customWidth="1"/>
    <col min="10520" max="10520" width="10.453125" style="1" bestFit="1" customWidth="1"/>
    <col min="10521" max="10521" width="11.453125" style="1" bestFit="1" customWidth="1"/>
    <col min="10522" max="10522" width="9.453125" style="1" bestFit="1" customWidth="1"/>
    <col min="10523" max="10523" width="11.453125" style="1" bestFit="1" customWidth="1"/>
    <col min="10524" max="10527" width="9.453125" style="1" bestFit="1" customWidth="1"/>
    <col min="10528" max="10528" width="10.453125" style="1" bestFit="1" customWidth="1"/>
    <col min="10529" max="10529" width="9.453125" style="1" bestFit="1" customWidth="1"/>
    <col min="10530" max="10533" width="9" style="1" bestFit="1" customWidth="1"/>
    <col min="10534" max="10534" width="11.453125" style="1" bestFit="1" customWidth="1"/>
    <col min="10535" max="10753" width="8.81640625" style="1"/>
    <col min="10754" max="10754" width="7.453125" style="1" customWidth="1"/>
    <col min="10755" max="10755" width="16.1796875" style="1" customWidth="1"/>
    <col min="10756" max="10756" width="9.1796875" style="1" customWidth="1"/>
    <col min="10757" max="10757" width="10.81640625" style="1" customWidth="1"/>
    <col min="10758" max="10758" width="12" style="1" customWidth="1"/>
    <col min="10759" max="10759" width="10.54296875" style="1" customWidth="1"/>
    <col min="10760" max="10760" width="8.453125" style="1" customWidth="1"/>
    <col min="10761" max="10761" width="9.453125" style="1" customWidth="1"/>
    <col min="10762" max="10763" width="10.54296875" style="1" customWidth="1"/>
    <col min="10764" max="10764" width="9" style="1" customWidth="1"/>
    <col min="10765" max="10766" width="10.453125" style="1" customWidth="1"/>
    <col min="10767" max="10767" width="9" style="1" customWidth="1"/>
    <col min="10768" max="10768" width="9.453125" style="1" customWidth="1"/>
    <col min="10769" max="10769" width="9" style="1" customWidth="1"/>
    <col min="10770" max="10770" width="10.453125" style="1" customWidth="1"/>
    <col min="10771" max="10771" width="9.453125" style="1" customWidth="1"/>
    <col min="10772" max="10772" width="10.1796875" style="1" customWidth="1"/>
    <col min="10773" max="10773" width="9.453125" style="1" customWidth="1"/>
    <col min="10774" max="10774" width="15.453125" style="1" customWidth="1"/>
    <col min="10775" max="10775" width="13.1796875" style="1" bestFit="1" customWidth="1"/>
    <col min="10776" max="10776" width="10.453125" style="1" bestFit="1" customWidth="1"/>
    <col min="10777" max="10777" width="11.453125" style="1" bestFit="1" customWidth="1"/>
    <col min="10778" max="10778" width="9.453125" style="1" bestFit="1" customWidth="1"/>
    <col min="10779" max="10779" width="11.453125" style="1" bestFit="1" customWidth="1"/>
    <col min="10780" max="10783" width="9.453125" style="1" bestFit="1" customWidth="1"/>
    <col min="10784" max="10784" width="10.453125" style="1" bestFit="1" customWidth="1"/>
    <col min="10785" max="10785" width="9.453125" style="1" bestFit="1" customWidth="1"/>
    <col min="10786" max="10789" width="9" style="1" bestFit="1" customWidth="1"/>
    <col min="10790" max="10790" width="11.453125" style="1" bestFit="1" customWidth="1"/>
    <col min="10791" max="11009" width="8.81640625" style="1"/>
    <col min="11010" max="11010" width="7.453125" style="1" customWidth="1"/>
    <col min="11011" max="11011" width="16.1796875" style="1" customWidth="1"/>
    <col min="11012" max="11012" width="9.1796875" style="1" customWidth="1"/>
    <col min="11013" max="11013" width="10.81640625" style="1" customWidth="1"/>
    <col min="11014" max="11014" width="12" style="1" customWidth="1"/>
    <col min="11015" max="11015" width="10.54296875" style="1" customWidth="1"/>
    <col min="11016" max="11016" width="8.453125" style="1" customWidth="1"/>
    <col min="11017" max="11017" width="9.453125" style="1" customWidth="1"/>
    <col min="11018" max="11019" width="10.54296875" style="1" customWidth="1"/>
    <col min="11020" max="11020" width="9" style="1" customWidth="1"/>
    <col min="11021" max="11022" width="10.453125" style="1" customWidth="1"/>
    <col min="11023" max="11023" width="9" style="1" customWidth="1"/>
    <col min="11024" max="11024" width="9.453125" style="1" customWidth="1"/>
    <col min="11025" max="11025" width="9" style="1" customWidth="1"/>
    <col min="11026" max="11026" width="10.453125" style="1" customWidth="1"/>
    <col min="11027" max="11027" width="9.453125" style="1" customWidth="1"/>
    <col min="11028" max="11028" width="10.1796875" style="1" customWidth="1"/>
    <col min="11029" max="11029" width="9.453125" style="1" customWidth="1"/>
    <col min="11030" max="11030" width="15.453125" style="1" customWidth="1"/>
    <col min="11031" max="11031" width="13.1796875" style="1" bestFit="1" customWidth="1"/>
    <col min="11032" max="11032" width="10.453125" style="1" bestFit="1" customWidth="1"/>
    <col min="11033" max="11033" width="11.453125" style="1" bestFit="1" customWidth="1"/>
    <col min="11034" max="11034" width="9.453125" style="1" bestFit="1" customWidth="1"/>
    <col min="11035" max="11035" width="11.453125" style="1" bestFit="1" customWidth="1"/>
    <col min="11036" max="11039" width="9.453125" style="1" bestFit="1" customWidth="1"/>
    <col min="11040" max="11040" width="10.453125" style="1" bestFit="1" customWidth="1"/>
    <col min="11041" max="11041" width="9.453125" style="1" bestFit="1" customWidth="1"/>
    <col min="11042" max="11045" width="9" style="1" bestFit="1" customWidth="1"/>
    <col min="11046" max="11046" width="11.453125" style="1" bestFit="1" customWidth="1"/>
    <col min="11047" max="11265" width="8.81640625" style="1"/>
    <col min="11266" max="11266" width="7.453125" style="1" customWidth="1"/>
    <col min="11267" max="11267" width="16.1796875" style="1" customWidth="1"/>
    <col min="11268" max="11268" width="9.1796875" style="1" customWidth="1"/>
    <col min="11269" max="11269" width="10.81640625" style="1" customWidth="1"/>
    <col min="11270" max="11270" width="12" style="1" customWidth="1"/>
    <col min="11271" max="11271" width="10.54296875" style="1" customWidth="1"/>
    <col min="11272" max="11272" width="8.453125" style="1" customWidth="1"/>
    <col min="11273" max="11273" width="9.453125" style="1" customWidth="1"/>
    <col min="11274" max="11275" width="10.54296875" style="1" customWidth="1"/>
    <col min="11276" max="11276" width="9" style="1" customWidth="1"/>
    <col min="11277" max="11278" width="10.453125" style="1" customWidth="1"/>
    <col min="11279" max="11279" width="9" style="1" customWidth="1"/>
    <col min="11280" max="11280" width="9.453125" style="1" customWidth="1"/>
    <col min="11281" max="11281" width="9" style="1" customWidth="1"/>
    <col min="11282" max="11282" width="10.453125" style="1" customWidth="1"/>
    <col min="11283" max="11283" width="9.453125" style="1" customWidth="1"/>
    <col min="11284" max="11284" width="10.1796875" style="1" customWidth="1"/>
    <col min="11285" max="11285" width="9.453125" style="1" customWidth="1"/>
    <col min="11286" max="11286" width="15.453125" style="1" customWidth="1"/>
    <col min="11287" max="11287" width="13.1796875" style="1" bestFit="1" customWidth="1"/>
    <col min="11288" max="11288" width="10.453125" style="1" bestFit="1" customWidth="1"/>
    <col min="11289" max="11289" width="11.453125" style="1" bestFit="1" customWidth="1"/>
    <col min="11290" max="11290" width="9.453125" style="1" bestFit="1" customWidth="1"/>
    <col min="11291" max="11291" width="11.453125" style="1" bestFit="1" customWidth="1"/>
    <col min="11292" max="11295" width="9.453125" style="1" bestFit="1" customWidth="1"/>
    <col min="11296" max="11296" width="10.453125" style="1" bestFit="1" customWidth="1"/>
    <col min="11297" max="11297" width="9.453125" style="1" bestFit="1" customWidth="1"/>
    <col min="11298" max="11301" width="9" style="1" bestFit="1" customWidth="1"/>
    <col min="11302" max="11302" width="11.453125" style="1" bestFit="1" customWidth="1"/>
    <col min="11303" max="11521" width="8.81640625" style="1"/>
    <col min="11522" max="11522" width="7.453125" style="1" customWidth="1"/>
    <col min="11523" max="11523" width="16.1796875" style="1" customWidth="1"/>
    <col min="11524" max="11524" width="9.1796875" style="1" customWidth="1"/>
    <col min="11525" max="11525" width="10.81640625" style="1" customWidth="1"/>
    <col min="11526" max="11526" width="12" style="1" customWidth="1"/>
    <col min="11527" max="11527" width="10.54296875" style="1" customWidth="1"/>
    <col min="11528" max="11528" width="8.453125" style="1" customWidth="1"/>
    <col min="11529" max="11529" width="9.453125" style="1" customWidth="1"/>
    <col min="11530" max="11531" width="10.54296875" style="1" customWidth="1"/>
    <col min="11532" max="11532" width="9" style="1" customWidth="1"/>
    <col min="11533" max="11534" width="10.453125" style="1" customWidth="1"/>
    <col min="11535" max="11535" width="9" style="1" customWidth="1"/>
    <col min="11536" max="11536" width="9.453125" style="1" customWidth="1"/>
    <col min="11537" max="11537" width="9" style="1" customWidth="1"/>
    <col min="11538" max="11538" width="10.453125" style="1" customWidth="1"/>
    <col min="11539" max="11539" width="9.453125" style="1" customWidth="1"/>
    <col min="11540" max="11540" width="10.1796875" style="1" customWidth="1"/>
    <col min="11541" max="11541" width="9.453125" style="1" customWidth="1"/>
    <col min="11542" max="11542" width="15.453125" style="1" customWidth="1"/>
    <col min="11543" max="11543" width="13.1796875" style="1" bestFit="1" customWidth="1"/>
    <col min="11544" max="11544" width="10.453125" style="1" bestFit="1" customWidth="1"/>
    <col min="11545" max="11545" width="11.453125" style="1" bestFit="1" customWidth="1"/>
    <col min="11546" max="11546" width="9.453125" style="1" bestFit="1" customWidth="1"/>
    <col min="11547" max="11547" width="11.453125" style="1" bestFit="1" customWidth="1"/>
    <col min="11548" max="11551" width="9.453125" style="1" bestFit="1" customWidth="1"/>
    <col min="11552" max="11552" width="10.453125" style="1" bestFit="1" customWidth="1"/>
    <col min="11553" max="11553" width="9.453125" style="1" bestFit="1" customWidth="1"/>
    <col min="11554" max="11557" width="9" style="1" bestFit="1" customWidth="1"/>
    <col min="11558" max="11558" width="11.453125" style="1" bestFit="1" customWidth="1"/>
    <col min="11559" max="11777" width="8.81640625" style="1"/>
    <col min="11778" max="11778" width="7.453125" style="1" customWidth="1"/>
    <col min="11779" max="11779" width="16.1796875" style="1" customWidth="1"/>
    <col min="11780" max="11780" width="9.1796875" style="1" customWidth="1"/>
    <col min="11781" max="11781" width="10.81640625" style="1" customWidth="1"/>
    <col min="11782" max="11782" width="12" style="1" customWidth="1"/>
    <col min="11783" max="11783" width="10.54296875" style="1" customWidth="1"/>
    <col min="11784" max="11784" width="8.453125" style="1" customWidth="1"/>
    <col min="11785" max="11785" width="9.453125" style="1" customWidth="1"/>
    <col min="11786" max="11787" width="10.54296875" style="1" customWidth="1"/>
    <col min="11788" max="11788" width="9" style="1" customWidth="1"/>
    <col min="11789" max="11790" width="10.453125" style="1" customWidth="1"/>
    <col min="11791" max="11791" width="9" style="1" customWidth="1"/>
    <col min="11792" max="11792" width="9.453125" style="1" customWidth="1"/>
    <col min="11793" max="11793" width="9" style="1" customWidth="1"/>
    <col min="11794" max="11794" width="10.453125" style="1" customWidth="1"/>
    <col min="11795" max="11795" width="9.453125" style="1" customWidth="1"/>
    <col min="11796" max="11796" width="10.1796875" style="1" customWidth="1"/>
    <col min="11797" max="11797" width="9.453125" style="1" customWidth="1"/>
    <col min="11798" max="11798" width="15.453125" style="1" customWidth="1"/>
    <col min="11799" max="11799" width="13.1796875" style="1" bestFit="1" customWidth="1"/>
    <col min="11800" max="11800" width="10.453125" style="1" bestFit="1" customWidth="1"/>
    <col min="11801" max="11801" width="11.453125" style="1" bestFit="1" customWidth="1"/>
    <col min="11802" max="11802" width="9.453125" style="1" bestFit="1" customWidth="1"/>
    <col min="11803" max="11803" width="11.453125" style="1" bestFit="1" customWidth="1"/>
    <col min="11804" max="11807" width="9.453125" style="1" bestFit="1" customWidth="1"/>
    <col min="11808" max="11808" width="10.453125" style="1" bestFit="1" customWidth="1"/>
    <col min="11809" max="11809" width="9.453125" style="1" bestFit="1" customWidth="1"/>
    <col min="11810" max="11813" width="9" style="1" bestFit="1" customWidth="1"/>
    <col min="11814" max="11814" width="11.453125" style="1" bestFit="1" customWidth="1"/>
    <col min="11815" max="12033" width="8.81640625" style="1"/>
    <col min="12034" max="12034" width="7.453125" style="1" customWidth="1"/>
    <col min="12035" max="12035" width="16.1796875" style="1" customWidth="1"/>
    <col min="12036" max="12036" width="9.1796875" style="1" customWidth="1"/>
    <col min="12037" max="12037" width="10.81640625" style="1" customWidth="1"/>
    <col min="12038" max="12038" width="12" style="1" customWidth="1"/>
    <col min="12039" max="12039" width="10.54296875" style="1" customWidth="1"/>
    <col min="12040" max="12040" width="8.453125" style="1" customWidth="1"/>
    <col min="12041" max="12041" width="9.453125" style="1" customWidth="1"/>
    <col min="12042" max="12043" width="10.54296875" style="1" customWidth="1"/>
    <col min="12044" max="12044" width="9" style="1" customWidth="1"/>
    <col min="12045" max="12046" width="10.453125" style="1" customWidth="1"/>
    <col min="12047" max="12047" width="9" style="1" customWidth="1"/>
    <col min="12048" max="12048" width="9.453125" style="1" customWidth="1"/>
    <col min="12049" max="12049" width="9" style="1" customWidth="1"/>
    <col min="12050" max="12050" width="10.453125" style="1" customWidth="1"/>
    <col min="12051" max="12051" width="9.453125" style="1" customWidth="1"/>
    <col min="12052" max="12052" width="10.1796875" style="1" customWidth="1"/>
    <col min="12053" max="12053" width="9.453125" style="1" customWidth="1"/>
    <col min="12054" max="12054" width="15.453125" style="1" customWidth="1"/>
    <col min="12055" max="12055" width="13.1796875" style="1" bestFit="1" customWidth="1"/>
    <col min="12056" max="12056" width="10.453125" style="1" bestFit="1" customWidth="1"/>
    <col min="12057" max="12057" width="11.453125" style="1" bestFit="1" customWidth="1"/>
    <col min="12058" max="12058" width="9.453125" style="1" bestFit="1" customWidth="1"/>
    <col min="12059" max="12059" width="11.453125" style="1" bestFit="1" customWidth="1"/>
    <col min="12060" max="12063" width="9.453125" style="1" bestFit="1" customWidth="1"/>
    <col min="12064" max="12064" width="10.453125" style="1" bestFit="1" customWidth="1"/>
    <col min="12065" max="12065" width="9.453125" style="1" bestFit="1" customWidth="1"/>
    <col min="12066" max="12069" width="9" style="1" bestFit="1" customWidth="1"/>
    <col min="12070" max="12070" width="11.453125" style="1" bestFit="1" customWidth="1"/>
    <col min="12071" max="12289" width="8.81640625" style="1"/>
    <col min="12290" max="12290" width="7.453125" style="1" customWidth="1"/>
    <col min="12291" max="12291" width="16.1796875" style="1" customWidth="1"/>
    <col min="12292" max="12292" width="9.1796875" style="1" customWidth="1"/>
    <col min="12293" max="12293" width="10.81640625" style="1" customWidth="1"/>
    <col min="12294" max="12294" width="12" style="1" customWidth="1"/>
    <col min="12295" max="12295" width="10.54296875" style="1" customWidth="1"/>
    <col min="12296" max="12296" width="8.453125" style="1" customWidth="1"/>
    <col min="12297" max="12297" width="9.453125" style="1" customWidth="1"/>
    <col min="12298" max="12299" width="10.54296875" style="1" customWidth="1"/>
    <col min="12300" max="12300" width="9" style="1" customWidth="1"/>
    <col min="12301" max="12302" width="10.453125" style="1" customWidth="1"/>
    <col min="12303" max="12303" width="9" style="1" customWidth="1"/>
    <col min="12304" max="12304" width="9.453125" style="1" customWidth="1"/>
    <col min="12305" max="12305" width="9" style="1" customWidth="1"/>
    <col min="12306" max="12306" width="10.453125" style="1" customWidth="1"/>
    <col min="12307" max="12307" width="9.453125" style="1" customWidth="1"/>
    <col min="12308" max="12308" width="10.1796875" style="1" customWidth="1"/>
    <col min="12309" max="12309" width="9.453125" style="1" customWidth="1"/>
    <col min="12310" max="12310" width="15.453125" style="1" customWidth="1"/>
    <col min="12311" max="12311" width="13.1796875" style="1" bestFit="1" customWidth="1"/>
    <col min="12312" max="12312" width="10.453125" style="1" bestFit="1" customWidth="1"/>
    <col min="12313" max="12313" width="11.453125" style="1" bestFit="1" customWidth="1"/>
    <col min="12314" max="12314" width="9.453125" style="1" bestFit="1" customWidth="1"/>
    <col min="12315" max="12315" width="11.453125" style="1" bestFit="1" customWidth="1"/>
    <col min="12316" max="12319" width="9.453125" style="1" bestFit="1" customWidth="1"/>
    <col min="12320" max="12320" width="10.453125" style="1" bestFit="1" customWidth="1"/>
    <col min="12321" max="12321" width="9.453125" style="1" bestFit="1" customWidth="1"/>
    <col min="12322" max="12325" width="9" style="1" bestFit="1" customWidth="1"/>
    <col min="12326" max="12326" width="11.453125" style="1" bestFit="1" customWidth="1"/>
    <col min="12327" max="12545" width="8.81640625" style="1"/>
    <col min="12546" max="12546" width="7.453125" style="1" customWidth="1"/>
    <col min="12547" max="12547" width="16.1796875" style="1" customWidth="1"/>
    <col min="12548" max="12548" width="9.1796875" style="1" customWidth="1"/>
    <col min="12549" max="12549" width="10.81640625" style="1" customWidth="1"/>
    <col min="12550" max="12550" width="12" style="1" customWidth="1"/>
    <col min="12551" max="12551" width="10.54296875" style="1" customWidth="1"/>
    <col min="12552" max="12552" width="8.453125" style="1" customWidth="1"/>
    <col min="12553" max="12553" width="9.453125" style="1" customWidth="1"/>
    <col min="12554" max="12555" width="10.54296875" style="1" customWidth="1"/>
    <col min="12556" max="12556" width="9" style="1" customWidth="1"/>
    <col min="12557" max="12558" width="10.453125" style="1" customWidth="1"/>
    <col min="12559" max="12559" width="9" style="1" customWidth="1"/>
    <col min="12560" max="12560" width="9.453125" style="1" customWidth="1"/>
    <col min="12561" max="12561" width="9" style="1" customWidth="1"/>
    <col min="12562" max="12562" width="10.453125" style="1" customWidth="1"/>
    <col min="12563" max="12563" width="9.453125" style="1" customWidth="1"/>
    <col min="12564" max="12564" width="10.1796875" style="1" customWidth="1"/>
    <col min="12565" max="12565" width="9.453125" style="1" customWidth="1"/>
    <col min="12566" max="12566" width="15.453125" style="1" customWidth="1"/>
    <col min="12567" max="12567" width="13.1796875" style="1" bestFit="1" customWidth="1"/>
    <col min="12568" max="12568" width="10.453125" style="1" bestFit="1" customWidth="1"/>
    <col min="12569" max="12569" width="11.453125" style="1" bestFit="1" customWidth="1"/>
    <col min="12570" max="12570" width="9.453125" style="1" bestFit="1" customWidth="1"/>
    <col min="12571" max="12571" width="11.453125" style="1" bestFit="1" customWidth="1"/>
    <col min="12572" max="12575" width="9.453125" style="1" bestFit="1" customWidth="1"/>
    <col min="12576" max="12576" width="10.453125" style="1" bestFit="1" customWidth="1"/>
    <col min="12577" max="12577" width="9.453125" style="1" bestFit="1" customWidth="1"/>
    <col min="12578" max="12581" width="9" style="1" bestFit="1" customWidth="1"/>
    <col min="12582" max="12582" width="11.453125" style="1" bestFit="1" customWidth="1"/>
    <col min="12583" max="12801" width="8.81640625" style="1"/>
    <col min="12802" max="12802" width="7.453125" style="1" customWidth="1"/>
    <col min="12803" max="12803" width="16.1796875" style="1" customWidth="1"/>
    <col min="12804" max="12804" width="9.1796875" style="1" customWidth="1"/>
    <col min="12805" max="12805" width="10.81640625" style="1" customWidth="1"/>
    <col min="12806" max="12806" width="12" style="1" customWidth="1"/>
    <col min="12807" max="12807" width="10.54296875" style="1" customWidth="1"/>
    <col min="12808" max="12808" width="8.453125" style="1" customWidth="1"/>
    <col min="12809" max="12809" width="9.453125" style="1" customWidth="1"/>
    <col min="12810" max="12811" width="10.54296875" style="1" customWidth="1"/>
    <col min="12812" max="12812" width="9" style="1" customWidth="1"/>
    <col min="12813" max="12814" width="10.453125" style="1" customWidth="1"/>
    <col min="12815" max="12815" width="9" style="1" customWidth="1"/>
    <col min="12816" max="12816" width="9.453125" style="1" customWidth="1"/>
    <col min="12817" max="12817" width="9" style="1" customWidth="1"/>
    <col min="12818" max="12818" width="10.453125" style="1" customWidth="1"/>
    <col min="12819" max="12819" width="9.453125" style="1" customWidth="1"/>
    <col min="12820" max="12820" width="10.1796875" style="1" customWidth="1"/>
    <col min="12821" max="12821" width="9.453125" style="1" customWidth="1"/>
    <col min="12822" max="12822" width="15.453125" style="1" customWidth="1"/>
    <col min="12823" max="12823" width="13.1796875" style="1" bestFit="1" customWidth="1"/>
    <col min="12824" max="12824" width="10.453125" style="1" bestFit="1" customWidth="1"/>
    <col min="12825" max="12825" width="11.453125" style="1" bestFit="1" customWidth="1"/>
    <col min="12826" max="12826" width="9.453125" style="1" bestFit="1" customWidth="1"/>
    <col min="12827" max="12827" width="11.453125" style="1" bestFit="1" customWidth="1"/>
    <col min="12828" max="12831" width="9.453125" style="1" bestFit="1" customWidth="1"/>
    <col min="12832" max="12832" width="10.453125" style="1" bestFit="1" customWidth="1"/>
    <col min="12833" max="12833" width="9.453125" style="1" bestFit="1" customWidth="1"/>
    <col min="12834" max="12837" width="9" style="1" bestFit="1" customWidth="1"/>
    <col min="12838" max="12838" width="11.453125" style="1" bestFit="1" customWidth="1"/>
    <col min="12839" max="13057" width="8.81640625" style="1"/>
    <col min="13058" max="13058" width="7.453125" style="1" customWidth="1"/>
    <col min="13059" max="13059" width="16.1796875" style="1" customWidth="1"/>
    <col min="13060" max="13060" width="9.1796875" style="1" customWidth="1"/>
    <col min="13061" max="13061" width="10.81640625" style="1" customWidth="1"/>
    <col min="13062" max="13062" width="12" style="1" customWidth="1"/>
    <col min="13063" max="13063" width="10.54296875" style="1" customWidth="1"/>
    <col min="13064" max="13064" width="8.453125" style="1" customWidth="1"/>
    <col min="13065" max="13065" width="9.453125" style="1" customWidth="1"/>
    <col min="13066" max="13067" width="10.54296875" style="1" customWidth="1"/>
    <col min="13068" max="13068" width="9" style="1" customWidth="1"/>
    <col min="13069" max="13070" width="10.453125" style="1" customWidth="1"/>
    <col min="13071" max="13071" width="9" style="1" customWidth="1"/>
    <col min="13072" max="13072" width="9.453125" style="1" customWidth="1"/>
    <col min="13073" max="13073" width="9" style="1" customWidth="1"/>
    <col min="13074" max="13074" width="10.453125" style="1" customWidth="1"/>
    <col min="13075" max="13075" width="9.453125" style="1" customWidth="1"/>
    <col min="13076" max="13076" width="10.1796875" style="1" customWidth="1"/>
    <col min="13077" max="13077" width="9.453125" style="1" customWidth="1"/>
    <col min="13078" max="13078" width="15.453125" style="1" customWidth="1"/>
    <col min="13079" max="13079" width="13.1796875" style="1" bestFit="1" customWidth="1"/>
    <col min="13080" max="13080" width="10.453125" style="1" bestFit="1" customWidth="1"/>
    <col min="13081" max="13081" width="11.453125" style="1" bestFit="1" customWidth="1"/>
    <col min="13082" max="13082" width="9.453125" style="1" bestFit="1" customWidth="1"/>
    <col min="13083" max="13083" width="11.453125" style="1" bestFit="1" customWidth="1"/>
    <col min="13084" max="13087" width="9.453125" style="1" bestFit="1" customWidth="1"/>
    <col min="13088" max="13088" width="10.453125" style="1" bestFit="1" customWidth="1"/>
    <col min="13089" max="13089" width="9.453125" style="1" bestFit="1" customWidth="1"/>
    <col min="13090" max="13093" width="9" style="1" bestFit="1" customWidth="1"/>
    <col min="13094" max="13094" width="11.453125" style="1" bestFit="1" customWidth="1"/>
    <col min="13095" max="13313" width="8.81640625" style="1"/>
    <col min="13314" max="13314" width="7.453125" style="1" customWidth="1"/>
    <col min="13315" max="13315" width="16.1796875" style="1" customWidth="1"/>
    <col min="13316" max="13316" width="9.1796875" style="1" customWidth="1"/>
    <col min="13317" max="13317" width="10.81640625" style="1" customWidth="1"/>
    <col min="13318" max="13318" width="12" style="1" customWidth="1"/>
    <col min="13319" max="13319" width="10.54296875" style="1" customWidth="1"/>
    <col min="13320" max="13320" width="8.453125" style="1" customWidth="1"/>
    <col min="13321" max="13321" width="9.453125" style="1" customWidth="1"/>
    <col min="13322" max="13323" width="10.54296875" style="1" customWidth="1"/>
    <col min="13324" max="13324" width="9" style="1" customWidth="1"/>
    <col min="13325" max="13326" width="10.453125" style="1" customWidth="1"/>
    <col min="13327" max="13327" width="9" style="1" customWidth="1"/>
    <col min="13328" max="13328" width="9.453125" style="1" customWidth="1"/>
    <col min="13329" max="13329" width="9" style="1" customWidth="1"/>
    <col min="13330" max="13330" width="10.453125" style="1" customWidth="1"/>
    <col min="13331" max="13331" width="9.453125" style="1" customWidth="1"/>
    <col min="13332" max="13332" width="10.1796875" style="1" customWidth="1"/>
    <col min="13333" max="13333" width="9.453125" style="1" customWidth="1"/>
    <col min="13334" max="13334" width="15.453125" style="1" customWidth="1"/>
    <col min="13335" max="13335" width="13.1796875" style="1" bestFit="1" customWidth="1"/>
    <col min="13336" max="13336" width="10.453125" style="1" bestFit="1" customWidth="1"/>
    <col min="13337" max="13337" width="11.453125" style="1" bestFit="1" customWidth="1"/>
    <col min="13338" max="13338" width="9.453125" style="1" bestFit="1" customWidth="1"/>
    <col min="13339" max="13339" width="11.453125" style="1" bestFit="1" customWidth="1"/>
    <col min="13340" max="13343" width="9.453125" style="1" bestFit="1" customWidth="1"/>
    <col min="13344" max="13344" width="10.453125" style="1" bestFit="1" customWidth="1"/>
    <col min="13345" max="13345" width="9.453125" style="1" bestFit="1" customWidth="1"/>
    <col min="13346" max="13349" width="9" style="1" bestFit="1" customWidth="1"/>
    <col min="13350" max="13350" width="11.453125" style="1" bestFit="1" customWidth="1"/>
    <col min="13351" max="13569" width="8.81640625" style="1"/>
    <col min="13570" max="13570" width="7.453125" style="1" customWidth="1"/>
    <col min="13571" max="13571" width="16.1796875" style="1" customWidth="1"/>
    <col min="13572" max="13572" width="9.1796875" style="1" customWidth="1"/>
    <col min="13573" max="13573" width="10.81640625" style="1" customWidth="1"/>
    <col min="13574" max="13574" width="12" style="1" customWidth="1"/>
    <col min="13575" max="13575" width="10.54296875" style="1" customWidth="1"/>
    <col min="13576" max="13576" width="8.453125" style="1" customWidth="1"/>
    <col min="13577" max="13577" width="9.453125" style="1" customWidth="1"/>
    <col min="13578" max="13579" width="10.54296875" style="1" customWidth="1"/>
    <col min="13580" max="13580" width="9" style="1" customWidth="1"/>
    <col min="13581" max="13582" width="10.453125" style="1" customWidth="1"/>
    <col min="13583" max="13583" width="9" style="1" customWidth="1"/>
    <col min="13584" max="13584" width="9.453125" style="1" customWidth="1"/>
    <col min="13585" max="13585" width="9" style="1" customWidth="1"/>
    <col min="13586" max="13586" width="10.453125" style="1" customWidth="1"/>
    <col min="13587" max="13587" width="9.453125" style="1" customWidth="1"/>
    <col min="13588" max="13588" width="10.1796875" style="1" customWidth="1"/>
    <col min="13589" max="13589" width="9.453125" style="1" customWidth="1"/>
    <col min="13590" max="13590" width="15.453125" style="1" customWidth="1"/>
    <col min="13591" max="13591" width="13.1796875" style="1" bestFit="1" customWidth="1"/>
    <col min="13592" max="13592" width="10.453125" style="1" bestFit="1" customWidth="1"/>
    <col min="13593" max="13593" width="11.453125" style="1" bestFit="1" customWidth="1"/>
    <col min="13594" max="13594" width="9.453125" style="1" bestFit="1" customWidth="1"/>
    <col min="13595" max="13595" width="11.453125" style="1" bestFit="1" customWidth="1"/>
    <col min="13596" max="13599" width="9.453125" style="1" bestFit="1" customWidth="1"/>
    <col min="13600" max="13600" width="10.453125" style="1" bestFit="1" customWidth="1"/>
    <col min="13601" max="13601" width="9.453125" style="1" bestFit="1" customWidth="1"/>
    <col min="13602" max="13605" width="9" style="1" bestFit="1" customWidth="1"/>
    <col min="13606" max="13606" width="11.453125" style="1" bestFit="1" customWidth="1"/>
    <col min="13607" max="13825" width="8.81640625" style="1"/>
    <col min="13826" max="13826" width="7.453125" style="1" customWidth="1"/>
    <col min="13827" max="13827" width="16.1796875" style="1" customWidth="1"/>
    <col min="13828" max="13828" width="9.1796875" style="1" customWidth="1"/>
    <col min="13829" max="13829" width="10.81640625" style="1" customWidth="1"/>
    <col min="13830" max="13830" width="12" style="1" customWidth="1"/>
    <col min="13831" max="13831" width="10.54296875" style="1" customWidth="1"/>
    <col min="13832" max="13832" width="8.453125" style="1" customWidth="1"/>
    <col min="13833" max="13833" width="9.453125" style="1" customWidth="1"/>
    <col min="13834" max="13835" width="10.54296875" style="1" customWidth="1"/>
    <col min="13836" max="13836" width="9" style="1" customWidth="1"/>
    <col min="13837" max="13838" width="10.453125" style="1" customWidth="1"/>
    <col min="13839" max="13839" width="9" style="1" customWidth="1"/>
    <col min="13840" max="13840" width="9.453125" style="1" customWidth="1"/>
    <col min="13841" max="13841" width="9" style="1" customWidth="1"/>
    <col min="13842" max="13842" width="10.453125" style="1" customWidth="1"/>
    <col min="13843" max="13843" width="9.453125" style="1" customWidth="1"/>
    <col min="13844" max="13844" width="10.1796875" style="1" customWidth="1"/>
    <col min="13845" max="13845" width="9.453125" style="1" customWidth="1"/>
    <col min="13846" max="13846" width="15.453125" style="1" customWidth="1"/>
    <col min="13847" max="13847" width="13.1796875" style="1" bestFit="1" customWidth="1"/>
    <col min="13848" max="13848" width="10.453125" style="1" bestFit="1" customWidth="1"/>
    <col min="13849" max="13849" width="11.453125" style="1" bestFit="1" customWidth="1"/>
    <col min="13850" max="13850" width="9.453125" style="1" bestFit="1" customWidth="1"/>
    <col min="13851" max="13851" width="11.453125" style="1" bestFit="1" customWidth="1"/>
    <col min="13852" max="13855" width="9.453125" style="1" bestFit="1" customWidth="1"/>
    <col min="13856" max="13856" width="10.453125" style="1" bestFit="1" customWidth="1"/>
    <col min="13857" max="13857" width="9.453125" style="1" bestFit="1" customWidth="1"/>
    <col min="13858" max="13861" width="9" style="1" bestFit="1" customWidth="1"/>
    <col min="13862" max="13862" width="11.453125" style="1" bestFit="1" customWidth="1"/>
    <col min="13863" max="14081" width="8.81640625" style="1"/>
    <col min="14082" max="14082" width="7.453125" style="1" customWidth="1"/>
    <col min="14083" max="14083" width="16.1796875" style="1" customWidth="1"/>
    <col min="14084" max="14084" width="9.1796875" style="1" customWidth="1"/>
    <col min="14085" max="14085" width="10.81640625" style="1" customWidth="1"/>
    <col min="14086" max="14086" width="12" style="1" customWidth="1"/>
    <col min="14087" max="14087" width="10.54296875" style="1" customWidth="1"/>
    <col min="14088" max="14088" width="8.453125" style="1" customWidth="1"/>
    <col min="14089" max="14089" width="9.453125" style="1" customWidth="1"/>
    <col min="14090" max="14091" width="10.54296875" style="1" customWidth="1"/>
    <col min="14092" max="14092" width="9" style="1" customWidth="1"/>
    <col min="14093" max="14094" width="10.453125" style="1" customWidth="1"/>
    <col min="14095" max="14095" width="9" style="1" customWidth="1"/>
    <col min="14096" max="14096" width="9.453125" style="1" customWidth="1"/>
    <col min="14097" max="14097" width="9" style="1" customWidth="1"/>
    <col min="14098" max="14098" width="10.453125" style="1" customWidth="1"/>
    <col min="14099" max="14099" width="9.453125" style="1" customWidth="1"/>
    <col min="14100" max="14100" width="10.1796875" style="1" customWidth="1"/>
    <col min="14101" max="14101" width="9.453125" style="1" customWidth="1"/>
    <col min="14102" max="14102" width="15.453125" style="1" customWidth="1"/>
    <col min="14103" max="14103" width="13.1796875" style="1" bestFit="1" customWidth="1"/>
    <col min="14104" max="14104" width="10.453125" style="1" bestFit="1" customWidth="1"/>
    <col min="14105" max="14105" width="11.453125" style="1" bestFit="1" customWidth="1"/>
    <col min="14106" max="14106" width="9.453125" style="1" bestFit="1" customWidth="1"/>
    <col min="14107" max="14107" width="11.453125" style="1" bestFit="1" customWidth="1"/>
    <col min="14108" max="14111" width="9.453125" style="1" bestFit="1" customWidth="1"/>
    <col min="14112" max="14112" width="10.453125" style="1" bestFit="1" customWidth="1"/>
    <col min="14113" max="14113" width="9.453125" style="1" bestFit="1" customWidth="1"/>
    <col min="14114" max="14117" width="9" style="1" bestFit="1" customWidth="1"/>
    <col min="14118" max="14118" width="11.453125" style="1" bestFit="1" customWidth="1"/>
    <col min="14119" max="14337" width="8.81640625" style="1"/>
    <col min="14338" max="14338" width="7.453125" style="1" customWidth="1"/>
    <col min="14339" max="14339" width="16.1796875" style="1" customWidth="1"/>
    <col min="14340" max="14340" width="9.1796875" style="1" customWidth="1"/>
    <col min="14341" max="14341" width="10.81640625" style="1" customWidth="1"/>
    <col min="14342" max="14342" width="12" style="1" customWidth="1"/>
    <col min="14343" max="14343" width="10.54296875" style="1" customWidth="1"/>
    <col min="14344" max="14344" width="8.453125" style="1" customWidth="1"/>
    <col min="14345" max="14345" width="9.453125" style="1" customWidth="1"/>
    <col min="14346" max="14347" width="10.54296875" style="1" customWidth="1"/>
    <col min="14348" max="14348" width="9" style="1" customWidth="1"/>
    <col min="14349" max="14350" width="10.453125" style="1" customWidth="1"/>
    <col min="14351" max="14351" width="9" style="1" customWidth="1"/>
    <col min="14352" max="14352" width="9.453125" style="1" customWidth="1"/>
    <col min="14353" max="14353" width="9" style="1" customWidth="1"/>
    <col min="14354" max="14354" width="10.453125" style="1" customWidth="1"/>
    <col min="14355" max="14355" width="9.453125" style="1" customWidth="1"/>
    <col min="14356" max="14356" width="10.1796875" style="1" customWidth="1"/>
    <col min="14357" max="14357" width="9.453125" style="1" customWidth="1"/>
    <col min="14358" max="14358" width="15.453125" style="1" customWidth="1"/>
    <col min="14359" max="14359" width="13.1796875" style="1" bestFit="1" customWidth="1"/>
    <col min="14360" max="14360" width="10.453125" style="1" bestFit="1" customWidth="1"/>
    <col min="14361" max="14361" width="11.453125" style="1" bestFit="1" customWidth="1"/>
    <col min="14362" max="14362" width="9.453125" style="1" bestFit="1" customWidth="1"/>
    <col min="14363" max="14363" width="11.453125" style="1" bestFit="1" customWidth="1"/>
    <col min="14364" max="14367" width="9.453125" style="1" bestFit="1" customWidth="1"/>
    <col min="14368" max="14368" width="10.453125" style="1" bestFit="1" customWidth="1"/>
    <col min="14369" max="14369" width="9.453125" style="1" bestFit="1" customWidth="1"/>
    <col min="14370" max="14373" width="9" style="1" bestFit="1" customWidth="1"/>
    <col min="14374" max="14374" width="11.453125" style="1" bestFit="1" customWidth="1"/>
    <col min="14375" max="14593" width="8.81640625" style="1"/>
    <col min="14594" max="14594" width="7.453125" style="1" customWidth="1"/>
    <col min="14595" max="14595" width="16.1796875" style="1" customWidth="1"/>
    <col min="14596" max="14596" width="9.1796875" style="1" customWidth="1"/>
    <col min="14597" max="14597" width="10.81640625" style="1" customWidth="1"/>
    <col min="14598" max="14598" width="12" style="1" customWidth="1"/>
    <col min="14599" max="14599" width="10.54296875" style="1" customWidth="1"/>
    <col min="14600" max="14600" width="8.453125" style="1" customWidth="1"/>
    <col min="14601" max="14601" width="9.453125" style="1" customWidth="1"/>
    <col min="14602" max="14603" width="10.54296875" style="1" customWidth="1"/>
    <col min="14604" max="14604" width="9" style="1" customWidth="1"/>
    <col min="14605" max="14606" width="10.453125" style="1" customWidth="1"/>
    <col min="14607" max="14607" width="9" style="1" customWidth="1"/>
    <col min="14608" max="14608" width="9.453125" style="1" customWidth="1"/>
    <col min="14609" max="14609" width="9" style="1" customWidth="1"/>
    <col min="14610" max="14610" width="10.453125" style="1" customWidth="1"/>
    <col min="14611" max="14611" width="9.453125" style="1" customWidth="1"/>
    <col min="14612" max="14612" width="10.1796875" style="1" customWidth="1"/>
    <col min="14613" max="14613" width="9.453125" style="1" customWidth="1"/>
    <col min="14614" max="14614" width="15.453125" style="1" customWidth="1"/>
    <col min="14615" max="14615" width="13.1796875" style="1" bestFit="1" customWidth="1"/>
    <col min="14616" max="14616" width="10.453125" style="1" bestFit="1" customWidth="1"/>
    <col min="14617" max="14617" width="11.453125" style="1" bestFit="1" customWidth="1"/>
    <col min="14618" max="14618" width="9.453125" style="1" bestFit="1" customWidth="1"/>
    <col min="14619" max="14619" width="11.453125" style="1" bestFit="1" customWidth="1"/>
    <col min="14620" max="14623" width="9.453125" style="1" bestFit="1" customWidth="1"/>
    <col min="14624" max="14624" width="10.453125" style="1" bestFit="1" customWidth="1"/>
    <col min="14625" max="14625" width="9.453125" style="1" bestFit="1" customWidth="1"/>
    <col min="14626" max="14629" width="9" style="1" bestFit="1" customWidth="1"/>
    <col min="14630" max="14630" width="11.453125" style="1" bestFit="1" customWidth="1"/>
    <col min="14631" max="14849" width="8.81640625" style="1"/>
    <col min="14850" max="14850" width="7.453125" style="1" customWidth="1"/>
    <col min="14851" max="14851" width="16.1796875" style="1" customWidth="1"/>
    <col min="14852" max="14852" width="9.1796875" style="1" customWidth="1"/>
    <col min="14853" max="14853" width="10.81640625" style="1" customWidth="1"/>
    <col min="14854" max="14854" width="12" style="1" customWidth="1"/>
    <col min="14855" max="14855" width="10.54296875" style="1" customWidth="1"/>
    <col min="14856" max="14856" width="8.453125" style="1" customWidth="1"/>
    <col min="14857" max="14857" width="9.453125" style="1" customWidth="1"/>
    <col min="14858" max="14859" width="10.54296875" style="1" customWidth="1"/>
    <col min="14860" max="14860" width="9" style="1" customWidth="1"/>
    <col min="14861" max="14862" width="10.453125" style="1" customWidth="1"/>
    <col min="14863" max="14863" width="9" style="1" customWidth="1"/>
    <col min="14864" max="14864" width="9.453125" style="1" customWidth="1"/>
    <col min="14865" max="14865" width="9" style="1" customWidth="1"/>
    <col min="14866" max="14866" width="10.453125" style="1" customWidth="1"/>
    <col min="14867" max="14867" width="9.453125" style="1" customWidth="1"/>
    <col min="14868" max="14868" width="10.1796875" style="1" customWidth="1"/>
    <col min="14869" max="14869" width="9.453125" style="1" customWidth="1"/>
    <col min="14870" max="14870" width="15.453125" style="1" customWidth="1"/>
    <col min="14871" max="14871" width="13.1796875" style="1" bestFit="1" customWidth="1"/>
    <col min="14872" max="14872" width="10.453125" style="1" bestFit="1" customWidth="1"/>
    <col min="14873" max="14873" width="11.453125" style="1" bestFit="1" customWidth="1"/>
    <col min="14874" max="14874" width="9.453125" style="1" bestFit="1" customWidth="1"/>
    <col min="14875" max="14875" width="11.453125" style="1" bestFit="1" customWidth="1"/>
    <col min="14876" max="14879" width="9.453125" style="1" bestFit="1" customWidth="1"/>
    <col min="14880" max="14880" width="10.453125" style="1" bestFit="1" customWidth="1"/>
    <col min="14881" max="14881" width="9.453125" style="1" bestFit="1" customWidth="1"/>
    <col min="14882" max="14885" width="9" style="1" bestFit="1" customWidth="1"/>
    <col min="14886" max="14886" width="11.453125" style="1" bestFit="1" customWidth="1"/>
    <col min="14887" max="15105" width="8.81640625" style="1"/>
    <col min="15106" max="15106" width="7.453125" style="1" customWidth="1"/>
    <col min="15107" max="15107" width="16.1796875" style="1" customWidth="1"/>
    <col min="15108" max="15108" width="9.1796875" style="1" customWidth="1"/>
    <col min="15109" max="15109" width="10.81640625" style="1" customWidth="1"/>
    <col min="15110" max="15110" width="12" style="1" customWidth="1"/>
    <col min="15111" max="15111" width="10.54296875" style="1" customWidth="1"/>
    <col min="15112" max="15112" width="8.453125" style="1" customWidth="1"/>
    <col min="15113" max="15113" width="9.453125" style="1" customWidth="1"/>
    <col min="15114" max="15115" width="10.54296875" style="1" customWidth="1"/>
    <col min="15116" max="15116" width="9" style="1" customWidth="1"/>
    <col min="15117" max="15118" width="10.453125" style="1" customWidth="1"/>
    <col min="15119" max="15119" width="9" style="1" customWidth="1"/>
    <col min="15120" max="15120" width="9.453125" style="1" customWidth="1"/>
    <col min="15121" max="15121" width="9" style="1" customWidth="1"/>
    <col min="15122" max="15122" width="10.453125" style="1" customWidth="1"/>
    <col min="15123" max="15123" width="9.453125" style="1" customWidth="1"/>
    <col min="15124" max="15124" width="10.1796875" style="1" customWidth="1"/>
    <col min="15125" max="15125" width="9.453125" style="1" customWidth="1"/>
    <col min="15126" max="15126" width="15.453125" style="1" customWidth="1"/>
    <col min="15127" max="15127" width="13.1796875" style="1" bestFit="1" customWidth="1"/>
    <col min="15128" max="15128" width="10.453125" style="1" bestFit="1" customWidth="1"/>
    <col min="15129" max="15129" width="11.453125" style="1" bestFit="1" customWidth="1"/>
    <col min="15130" max="15130" width="9.453125" style="1" bestFit="1" customWidth="1"/>
    <col min="15131" max="15131" width="11.453125" style="1" bestFit="1" customWidth="1"/>
    <col min="15132" max="15135" width="9.453125" style="1" bestFit="1" customWidth="1"/>
    <col min="15136" max="15136" width="10.453125" style="1" bestFit="1" customWidth="1"/>
    <col min="15137" max="15137" width="9.453125" style="1" bestFit="1" customWidth="1"/>
    <col min="15138" max="15141" width="9" style="1" bestFit="1" customWidth="1"/>
    <col min="15142" max="15142" width="11.453125" style="1" bestFit="1" customWidth="1"/>
    <col min="15143" max="15361" width="8.81640625" style="1"/>
    <col min="15362" max="15362" width="7.453125" style="1" customWidth="1"/>
    <col min="15363" max="15363" width="16.1796875" style="1" customWidth="1"/>
    <col min="15364" max="15364" width="9.1796875" style="1" customWidth="1"/>
    <col min="15365" max="15365" width="10.81640625" style="1" customWidth="1"/>
    <col min="15366" max="15366" width="12" style="1" customWidth="1"/>
    <col min="15367" max="15367" width="10.54296875" style="1" customWidth="1"/>
    <col min="15368" max="15368" width="8.453125" style="1" customWidth="1"/>
    <col min="15369" max="15369" width="9.453125" style="1" customWidth="1"/>
    <col min="15370" max="15371" width="10.54296875" style="1" customWidth="1"/>
    <col min="15372" max="15372" width="9" style="1" customWidth="1"/>
    <col min="15373" max="15374" width="10.453125" style="1" customWidth="1"/>
    <col min="15375" max="15375" width="9" style="1" customWidth="1"/>
    <col min="15376" max="15376" width="9.453125" style="1" customWidth="1"/>
    <col min="15377" max="15377" width="9" style="1" customWidth="1"/>
    <col min="15378" max="15378" width="10.453125" style="1" customWidth="1"/>
    <col min="15379" max="15379" width="9.453125" style="1" customWidth="1"/>
    <col min="15380" max="15380" width="10.1796875" style="1" customWidth="1"/>
    <col min="15381" max="15381" width="9.453125" style="1" customWidth="1"/>
    <col min="15382" max="15382" width="15.453125" style="1" customWidth="1"/>
    <col min="15383" max="15383" width="13.1796875" style="1" bestFit="1" customWidth="1"/>
    <col min="15384" max="15384" width="10.453125" style="1" bestFit="1" customWidth="1"/>
    <col min="15385" max="15385" width="11.453125" style="1" bestFit="1" customWidth="1"/>
    <col min="15386" max="15386" width="9.453125" style="1" bestFit="1" customWidth="1"/>
    <col min="15387" max="15387" width="11.453125" style="1" bestFit="1" customWidth="1"/>
    <col min="15388" max="15391" width="9.453125" style="1" bestFit="1" customWidth="1"/>
    <col min="15392" max="15392" width="10.453125" style="1" bestFit="1" customWidth="1"/>
    <col min="15393" max="15393" width="9.453125" style="1" bestFit="1" customWidth="1"/>
    <col min="15394" max="15397" width="9" style="1" bestFit="1" customWidth="1"/>
    <col min="15398" max="15398" width="11.453125" style="1" bestFit="1" customWidth="1"/>
    <col min="15399" max="15617" width="8.81640625" style="1"/>
    <col min="15618" max="15618" width="7.453125" style="1" customWidth="1"/>
    <col min="15619" max="15619" width="16.1796875" style="1" customWidth="1"/>
    <col min="15620" max="15620" width="9.1796875" style="1" customWidth="1"/>
    <col min="15621" max="15621" width="10.81640625" style="1" customWidth="1"/>
    <col min="15622" max="15622" width="12" style="1" customWidth="1"/>
    <col min="15623" max="15623" width="10.54296875" style="1" customWidth="1"/>
    <col min="15624" max="15624" width="8.453125" style="1" customWidth="1"/>
    <col min="15625" max="15625" width="9.453125" style="1" customWidth="1"/>
    <col min="15626" max="15627" width="10.54296875" style="1" customWidth="1"/>
    <col min="15628" max="15628" width="9" style="1" customWidth="1"/>
    <col min="15629" max="15630" width="10.453125" style="1" customWidth="1"/>
    <col min="15631" max="15631" width="9" style="1" customWidth="1"/>
    <col min="15632" max="15632" width="9.453125" style="1" customWidth="1"/>
    <col min="15633" max="15633" width="9" style="1" customWidth="1"/>
    <col min="15634" max="15634" width="10.453125" style="1" customWidth="1"/>
    <col min="15635" max="15635" width="9.453125" style="1" customWidth="1"/>
    <col min="15636" max="15636" width="10.1796875" style="1" customWidth="1"/>
    <col min="15637" max="15637" width="9.453125" style="1" customWidth="1"/>
    <col min="15638" max="15638" width="15.453125" style="1" customWidth="1"/>
    <col min="15639" max="15639" width="13.1796875" style="1" bestFit="1" customWidth="1"/>
    <col min="15640" max="15640" width="10.453125" style="1" bestFit="1" customWidth="1"/>
    <col min="15641" max="15641" width="11.453125" style="1" bestFit="1" customWidth="1"/>
    <col min="15642" max="15642" width="9.453125" style="1" bestFit="1" customWidth="1"/>
    <col min="15643" max="15643" width="11.453125" style="1" bestFit="1" customWidth="1"/>
    <col min="15644" max="15647" width="9.453125" style="1" bestFit="1" customWidth="1"/>
    <col min="15648" max="15648" width="10.453125" style="1" bestFit="1" customWidth="1"/>
    <col min="15649" max="15649" width="9.453125" style="1" bestFit="1" customWidth="1"/>
    <col min="15650" max="15653" width="9" style="1" bestFit="1" customWidth="1"/>
    <col min="15654" max="15654" width="11.453125" style="1" bestFit="1" customWidth="1"/>
    <col min="15655" max="15873" width="8.81640625" style="1"/>
    <col min="15874" max="15874" width="7.453125" style="1" customWidth="1"/>
    <col min="15875" max="15875" width="16.1796875" style="1" customWidth="1"/>
    <col min="15876" max="15876" width="9.1796875" style="1" customWidth="1"/>
    <col min="15877" max="15877" width="10.81640625" style="1" customWidth="1"/>
    <col min="15878" max="15878" width="12" style="1" customWidth="1"/>
    <col min="15879" max="15879" width="10.54296875" style="1" customWidth="1"/>
    <col min="15880" max="15880" width="8.453125" style="1" customWidth="1"/>
    <col min="15881" max="15881" width="9.453125" style="1" customWidth="1"/>
    <col min="15882" max="15883" width="10.54296875" style="1" customWidth="1"/>
    <col min="15884" max="15884" width="9" style="1" customWidth="1"/>
    <col min="15885" max="15886" width="10.453125" style="1" customWidth="1"/>
    <col min="15887" max="15887" width="9" style="1" customWidth="1"/>
    <col min="15888" max="15888" width="9.453125" style="1" customWidth="1"/>
    <col min="15889" max="15889" width="9" style="1" customWidth="1"/>
    <col min="15890" max="15890" width="10.453125" style="1" customWidth="1"/>
    <col min="15891" max="15891" width="9.453125" style="1" customWidth="1"/>
    <col min="15892" max="15892" width="10.1796875" style="1" customWidth="1"/>
    <col min="15893" max="15893" width="9.453125" style="1" customWidth="1"/>
    <col min="15894" max="15894" width="15.453125" style="1" customWidth="1"/>
    <col min="15895" max="15895" width="13.1796875" style="1" bestFit="1" customWidth="1"/>
    <col min="15896" max="15896" width="10.453125" style="1" bestFit="1" customWidth="1"/>
    <col min="15897" max="15897" width="11.453125" style="1" bestFit="1" customWidth="1"/>
    <col min="15898" max="15898" width="9.453125" style="1" bestFit="1" customWidth="1"/>
    <col min="15899" max="15899" width="11.453125" style="1" bestFit="1" customWidth="1"/>
    <col min="15900" max="15903" width="9.453125" style="1" bestFit="1" customWidth="1"/>
    <col min="15904" max="15904" width="10.453125" style="1" bestFit="1" customWidth="1"/>
    <col min="15905" max="15905" width="9.453125" style="1" bestFit="1" customWidth="1"/>
    <col min="15906" max="15909" width="9" style="1" bestFit="1" customWidth="1"/>
    <col min="15910" max="15910" width="11.453125" style="1" bestFit="1" customWidth="1"/>
    <col min="15911" max="16129" width="8.81640625" style="1"/>
    <col min="16130" max="16130" width="7.453125" style="1" customWidth="1"/>
    <col min="16131" max="16131" width="16.1796875" style="1" customWidth="1"/>
    <col min="16132" max="16132" width="9.1796875" style="1" customWidth="1"/>
    <col min="16133" max="16133" width="10.81640625" style="1" customWidth="1"/>
    <col min="16134" max="16134" width="12" style="1" customWidth="1"/>
    <col min="16135" max="16135" width="10.54296875" style="1" customWidth="1"/>
    <col min="16136" max="16136" width="8.453125" style="1" customWidth="1"/>
    <col min="16137" max="16137" width="9.453125" style="1" customWidth="1"/>
    <col min="16138" max="16139" width="10.54296875" style="1" customWidth="1"/>
    <col min="16140" max="16140" width="9" style="1" customWidth="1"/>
    <col min="16141" max="16142" width="10.453125" style="1" customWidth="1"/>
    <col min="16143" max="16143" width="9" style="1" customWidth="1"/>
    <col min="16144" max="16144" width="9.453125" style="1" customWidth="1"/>
    <col min="16145" max="16145" width="9" style="1" customWidth="1"/>
    <col min="16146" max="16146" width="10.453125" style="1" customWidth="1"/>
    <col min="16147" max="16147" width="9.453125" style="1" customWidth="1"/>
    <col min="16148" max="16148" width="10.1796875" style="1" customWidth="1"/>
    <col min="16149" max="16149" width="9.453125" style="1" customWidth="1"/>
    <col min="16150" max="16150" width="15.453125" style="1" customWidth="1"/>
    <col min="16151" max="16151" width="13.1796875" style="1" bestFit="1" customWidth="1"/>
    <col min="16152" max="16152" width="10.453125" style="1" bestFit="1" customWidth="1"/>
    <col min="16153" max="16153" width="11.453125" style="1" bestFit="1" customWidth="1"/>
    <col min="16154" max="16154" width="9.453125" style="1" bestFit="1" customWidth="1"/>
    <col min="16155" max="16155" width="11.453125" style="1" bestFit="1" customWidth="1"/>
    <col min="16156" max="16159" width="9.453125" style="1" bestFit="1" customWidth="1"/>
    <col min="16160" max="16160" width="10.453125" style="1" bestFit="1" customWidth="1"/>
    <col min="16161" max="16161" width="9.453125" style="1" bestFit="1" customWidth="1"/>
    <col min="16162" max="16165" width="9" style="1" bestFit="1" customWidth="1"/>
    <col min="16166" max="16166" width="11.453125" style="1" bestFit="1" customWidth="1"/>
    <col min="16167" max="16384" width="8.81640625" style="1"/>
  </cols>
  <sheetData>
    <row r="1" spans="1:38" ht="15.5" x14ac:dyDescent="0.25">
      <c r="A1" s="117" t="s">
        <v>165</v>
      </c>
      <c r="B1" s="103"/>
      <c r="C1" s="49"/>
      <c r="D1" s="47"/>
      <c r="E1" s="47"/>
      <c r="F1" s="49"/>
      <c r="G1" s="48" t="s">
        <v>1</v>
      </c>
      <c r="T1" s="1" t="s">
        <v>1</v>
      </c>
      <c r="W1" s="61"/>
      <c r="X1" s="61"/>
      <c r="Y1" s="61"/>
      <c r="Z1" s="61"/>
      <c r="AA1" s="61"/>
      <c r="AB1" s="61"/>
      <c r="AC1" s="61"/>
      <c r="AD1" s="61"/>
      <c r="AE1" s="61"/>
      <c r="AF1" s="61"/>
    </row>
    <row r="2" spans="1:38" ht="16" thickBot="1" x14ac:dyDescent="0.3">
      <c r="A2" s="49"/>
      <c r="B2" s="104"/>
      <c r="C2" s="49"/>
      <c r="D2" s="47"/>
      <c r="E2" s="47"/>
      <c r="F2" s="49"/>
      <c r="G2" s="48"/>
      <c r="W2" s="66"/>
      <c r="X2" s="66"/>
      <c r="Y2" s="66"/>
      <c r="Z2" s="66"/>
      <c r="AA2" s="66"/>
      <c r="AB2" s="66"/>
      <c r="AC2" s="66"/>
      <c r="AD2" s="66"/>
      <c r="AE2" s="66"/>
      <c r="AF2" s="66"/>
    </row>
    <row r="3" spans="1:38" x14ac:dyDescent="0.25">
      <c r="A3" s="88" t="s">
        <v>2</v>
      </c>
      <c r="B3" s="105" t="s">
        <v>2</v>
      </c>
      <c r="C3" s="52">
        <v>1145</v>
      </c>
      <c r="D3" s="50">
        <v>1211</v>
      </c>
      <c r="E3" s="51">
        <v>1213</v>
      </c>
      <c r="F3" s="52">
        <v>1219</v>
      </c>
      <c r="G3" s="52">
        <v>1222</v>
      </c>
      <c r="H3" s="52">
        <v>1223</v>
      </c>
      <c r="I3" s="52">
        <v>1229</v>
      </c>
      <c r="J3" s="52">
        <v>1231</v>
      </c>
      <c r="K3" s="52">
        <v>1233</v>
      </c>
      <c r="L3" s="52">
        <v>1241</v>
      </c>
      <c r="M3" s="52">
        <v>1242</v>
      </c>
      <c r="N3" s="52">
        <v>1243</v>
      </c>
      <c r="O3" s="52">
        <v>1249</v>
      </c>
      <c r="P3" s="52">
        <v>1251</v>
      </c>
      <c r="Q3" s="52">
        <v>1252</v>
      </c>
      <c r="R3" s="52">
        <v>1259</v>
      </c>
      <c r="S3" s="52">
        <v>1261</v>
      </c>
      <c r="T3" s="52">
        <v>1262</v>
      </c>
      <c r="U3" s="53" t="s">
        <v>3</v>
      </c>
    </row>
    <row r="4" spans="1:38" ht="21" customHeight="1" x14ac:dyDescent="0.25">
      <c r="A4" s="89" t="s">
        <v>4</v>
      </c>
      <c r="B4" s="45" t="s">
        <v>162</v>
      </c>
      <c r="C4" s="55" t="s">
        <v>166</v>
      </c>
      <c r="D4" s="54" t="s">
        <v>5</v>
      </c>
      <c r="E4" s="54" t="s">
        <v>167</v>
      </c>
      <c r="F4" s="55" t="s">
        <v>168</v>
      </c>
      <c r="G4" s="55" t="s">
        <v>8</v>
      </c>
      <c r="H4" s="55" t="s">
        <v>9</v>
      </c>
      <c r="I4" s="55" t="s">
        <v>10</v>
      </c>
      <c r="J4" s="55" t="s">
        <v>11</v>
      </c>
      <c r="K4" s="55" t="s">
        <v>12</v>
      </c>
      <c r="L4" s="55" t="s">
        <v>13</v>
      </c>
      <c r="M4" s="55" t="s">
        <v>14</v>
      </c>
      <c r="N4" s="55" t="s">
        <v>15</v>
      </c>
      <c r="O4" s="55" t="s">
        <v>16</v>
      </c>
      <c r="P4" s="55" t="s">
        <v>17</v>
      </c>
      <c r="Q4" s="55" t="s">
        <v>18</v>
      </c>
      <c r="R4" s="55" t="s">
        <v>19</v>
      </c>
      <c r="S4" s="55" t="s">
        <v>20</v>
      </c>
      <c r="T4" s="55" t="s">
        <v>21</v>
      </c>
      <c r="U4" s="56"/>
      <c r="X4" s="61"/>
      <c r="Y4" s="61"/>
      <c r="Z4" s="61"/>
      <c r="AA4" s="61"/>
      <c r="AB4" s="61"/>
      <c r="AC4" s="61"/>
    </row>
    <row r="5" spans="1:38" x14ac:dyDescent="0.25">
      <c r="A5" s="5" t="s">
        <v>22</v>
      </c>
      <c r="B5" s="106" t="s">
        <v>93</v>
      </c>
      <c r="C5" s="67"/>
      <c r="D5" s="6">
        <v>22006</v>
      </c>
      <c r="E5" s="6">
        <v>203144</v>
      </c>
      <c r="F5" s="6">
        <v>8887</v>
      </c>
      <c r="G5" s="6">
        <v>-91</v>
      </c>
      <c r="H5" s="6">
        <v>0</v>
      </c>
      <c r="I5" s="6">
        <v>57498.176021798383</v>
      </c>
      <c r="J5" s="6">
        <v>5731.0321543258387</v>
      </c>
      <c r="K5" s="6">
        <v>3338.9678456741613</v>
      </c>
      <c r="L5" s="6">
        <v>5512</v>
      </c>
      <c r="M5" s="6">
        <v>7526</v>
      </c>
      <c r="N5" s="6">
        <v>0</v>
      </c>
      <c r="O5" s="6">
        <v>9560.8239782016171</v>
      </c>
      <c r="P5" s="6">
        <v>0</v>
      </c>
      <c r="Q5" s="6">
        <v>521</v>
      </c>
      <c r="R5" s="6">
        <v>0</v>
      </c>
      <c r="S5" s="6"/>
      <c r="T5" s="6">
        <v>-5308</v>
      </c>
      <c r="U5" s="7">
        <v>318326</v>
      </c>
      <c r="V5" s="74"/>
      <c r="X5" s="66"/>
      <c r="Y5" s="66"/>
      <c r="Z5" s="66"/>
      <c r="AA5" s="66"/>
      <c r="AB5" s="66"/>
      <c r="AC5" s="66"/>
    </row>
    <row r="6" spans="1:38" x14ac:dyDescent="0.25">
      <c r="A6" s="9" t="s">
        <v>23</v>
      </c>
      <c r="B6" s="107" t="s">
        <v>120</v>
      </c>
      <c r="C6" s="68"/>
      <c r="D6" s="10">
        <v>65285</v>
      </c>
      <c r="E6" s="10">
        <v>494351</v>
      </c>
      <c r="F6" s="10">
        <v>28048</v>
      </c>
      <c r="G6" s="10">
        <v>52</v>
      </c>
      <c r="H6" s="10">
        <v>0</v>
      </c>
      <c r="I6" s="10">
        <v>126618</v>
      </c>
      <c r="J6" s="10">
        <v>15337.999999999996</v>
      </c>
      <c r="K6" s="10">
        <v>7238.4</v>
      </c>
      <c r="L6" s="10">
        <v>2078</v>
      </c>
      <c r="M6" s="10">
        <v>0</v>
      </c>
      <c r="N6" s="10">
        <v>0</v>
      </c>
      <c r="O6" s="10">
        <v>0</v>
      </c>
      <c r="P6" s="10">
        <v>0</v>
      </c>
      <c r="Q6" s="10">
        <v>0</v>
      </c>
      <c r="R6" s="10">
        <v>0</v>
      </c>
      <c r="S6" s="10"/>
      <c r="T6" s="10">
        <v>0</v>
      </c>
      <c r="U6" s="11">
        <v>739008</v>
      </c>
      <c r="V6" s="91"/>
    </row>
    <row r="7" spans="1:38" x14ac:dyDescent="0.25">
      <c r="A7" s="12" t="s">
        <v>24</v>
      </c>
      <c r="B7" s="108" t="s">
        <v>121</v>
      </c>
      <c r="C7" s="69"/>
      <c r="D7" s="13">
        <v>11346</v>
      </c>
      <c r="E7" s="13">
        <v>91848</v>
      </c>
      <c r="F7" s="13">
        <v>6470</v>
      </c>
      <c r="G7" s="13">
        <v>-36</v>
      </c>
      <c r="H7" s="13">
        <v>0</v>
      </c>
      <c r="I7" s="13">
        <v>55315</v>
      </c>
      <c r="J7" s="13">
        <v>17672</v>
      </c>
      <c r="K7" s="13">
        <v>0</v>
      </c>
      <c r="L7" s="13">
        <v>700</v>
      </c>
      <c r="M7" s="13">
        <v>0</v>
      </c>
      <c r="N7" s="13">
        <v>0</v>
      </c>
      <c r="O7" s="13">
        <v>207.99999999999997</v>
      </c>
      <c r="P7" s="13">
        <v>0</v>
      </c>
      <c r="Q7" s="13">
        <v>0</v>
      </c>
      <c r="R7" s="13">
        <v>0</v>
      </c>
      <c r="S7" s="13"/>
      <c r="T7" s="13">
        <v>0</v>
      </c>
      <c r="U7" s="14">
        <v>183523</v>
      </c>
      <c r="V7" s="91"/>
    </row>
    <row r="8" spans="1:38" x14ac:dyDescent="0.25">
      <c r="A8" s="12" t="s">
        <v>25</v>
      </c>
      <c r="B8" s="108" t="s">
        <v>94</v>
      </c>
      <c r="C8" s="69"/>
      <c r="D8" s="13">
        <v>13297</v>
      </c>
      <c r="E8" s="13">
        <v>148626</v>
      </c>
      <c r="F8" s="13">
        <v>5072</v>
      </c>
      <c r="G8" s="13">
        <v>186</v>
      </c>
      <c r="H8" s="13">
        <v>0</v>
      </c>
      <c r="I8" s="13">
        <v>54930.085942410195</v>
      </c>
      <c r="J8" s="13">
        <v>10028.776128931897</v>
      </c>
      <c r="K8" s="13">
        <v>954.22387106810265</v>
      </c>
      <c r="L8" s="13">
        <v>44009</v>
      </c>
      <c r="M8" s="13">
        <v>0</v>
      </c>
      <c r="N8" s="13">
        <v>0</v>
      </c>
      <c r="O8" s="13">
        <v>-1235.0859424101966</v>
      </c>
      <c r="P8" s="13">
        <v>141</v>
      </c>
      <c r="Q8" s="13">
        <v>0</v>
      </c>
      <c r="R8" s="13">
        <v>0</v>
      </c>
      <c r="S8" s="13"/>
      <c r="T8" s="13">
        <v>0</v>
      </c>
      <c r="U8" s="14">
        <v>276008.99999999994</v>
      </c>
      <c r="V8" s="91"/>
    </row>
    <row r="9" spans="1:38" x14ac:dyDescent="0.25">
      <c r="A9" s="12" t="s">
        <v>26</v>
      </c>
      <c r="B9" s="108" t="s">
        <v>95</v>
      </c>
      <c r="C9" s="69"/>
      <c r="D9" s="13">
        <v>13236</v>
      </c>
      <c r="E9" s="13">
        <v>137911</v>
      </c>
      <c r="F9" s="13">
        <v>12126</v>
      </c>
      <c r="G9" s="13">
        <v>5</v>
      </c>
      <c r="H9" s="13">
        <v>0</v>
      </c>
      <c r="I9" s="13">
        <v>72388.00376630947</v>
      </c>
      <c r="J9" s="13">
        <v>16578.822033898305</v>
      </c>
      <c r="K9" s="13">
        <v>1.1779661016949161</v>
      </c>
      <c r="L9" s="13">
        <v>568</v>
      </c>
      <c r="M9" s="13">
        <v>3288</v>
      </c>
      <c r="N9" s="13">
        <v>1516</v>
      </c>
      <c r="O9" s="13">
        <v>65.996233690534908</v>
      </c>
      <c r="P9" s="13">
        <v>0</v>
      </c>
      <c r="Q9" s="13">
        <v>0</v>
      </c>
      <c r="R9" s="13">
        <v>0</v>
      </c>
      <c r="S9" s="13"/>
      <c r="T9" s="13">
        <v>0</v>
      </c>
      <c r="U9" s="14">
        <v>257684</v>
      </c>
      <c r="V9" s="91"/>
    </row>
    <row r="10" spans="1:38" x14ac:dyDescent="0.25">
      <c r="A10" s="15" t="s">
        <v>27</v>
      </c>
      <c r="B10" s="109" t="s">
        <v>96</v>
      </c>
      <c r="C10" s="70"/>
      <c r="D10" s="16">
        <v>1974</v>
      </c>
      <c r="E10" s="16">
        <v>16939</v>
      </c>
      <c r="F10" s="16">
        <v>948</v>
      </c>
      <c r="G10" s="16">
        <v>-93</v>
      </c>
      <c r="H10" s="16">
        <v>0</v>
      </c>
      <c r="I10" s="16">
        <v>33150</v>
      </c>
      <c r="J10" s="16">
        <v>4965</v>
      </c>
      <c r="K10" s="16">
        <v>0</v>
      </c>
      <c r="L10" s="16">
        <v>9173</v>
      </c>
      <c r="M10" s="16">
        <v>0</v>
      </c>
      <c r="N10" s="16">
        <v>0</v>
      </c>
      <c r="O10" s="16">
        <v>184</v>
      </c>
      <c r="P10" s="16">
        <v>0</v>
      </c>
      <c r="Q10" s="16">
        <v>0</v>
      </c>
      <c r="R10" s="16">
        <v>0</v>
      </c>
      <c r="S10" s="16"/>
      <c r="T10" s="16">
        <v>0</v>
      </c>
      <c r="U10" s="17">
        <v>67240</v>
      </c>
      <c r="V10" s="74"/>
      <c r="AL10" s="19"/>
    </row>
    <row r="11" spans="1:38" x14ac:dyDescent="0.25">
      <c r="A11" s="20" t="s">
        <v>28</v>
      </c>
      <c r="B11" s="110" t="s">
        <v>122</v>
      </c>
      <c r="C11" s="71"/>
      <c r="D11" s="21">
        <v>93285</v>
      </c>
      <c r="E11" s="21">
        <v>874137</v>
      </c>
      <c r="F11" s="21">
        <v>41683</v>
      </c>
      <c r="G11" s="21">
        <v>395</v>
      </c>
      <c r="H11" s="21">
        <v>1281.3240000000001</v>
      </c>
      <c r="I11" s="21">
        <v>253402.47539007093</v>
      </c>
      <c r="J11" s="21">
        <v>53430</v>
      </c>
      <c r="K11" s="21">
        <v>4024.4</v>
      </c>
      <c r="L11" s="21">
        <v>12414</v>
      </c>
      <c r="M11" s="21">
        <v>13669</v>
      </c>
      <c r="N11" s="21">
        <v>1038.9720000000002</v>
      </c>
      <c r="O11" s="21">
        <v>-9628.4753900709293</v>
      </c>
      <c r="P11" s="21">
        <v>0</v>
      </c>
      <c r="Q11" s="21">
        <v>0</v>
      </c>
      <c r="R11" s="21">
        <v>0</v>
      </c>
      <c r="S11" s="21"/>
      <c r="T11" s="21">
        <v>0</v>
      </c>
      <c r="U11" s="22">
        <v>1339131.2960000001</v>
      </c>
      <c r="V11" s="91"/>
    </row>
    <row r="12" spans="1:38" x14ac:dyDescent="0.25">
      <c r="A12" s="12" t="s">
        <v>29</v>
      </c>
      <c r="B12" s="108" t="s">
        <v>123</v>
      </c>
      <c r="C12" s="69"/>
      <c r="D12" s="13">
        <v>62735</v>
      </c>
      <c r="E12" s="13">
        <v>585598</v>
      </c>
      <c r="F12" s="13">
        <v>27650</v>
      </c>
      <c r="G12" s="13">
        <v>1145</v>
      </c>
      <c r="H12" s="13">
        <v>822.92520000000002</v>
      </c>
      <c r="I12" s="13">
        <v>344634.61</v>
      </c>
      <c r="J12" s="13">
        <v>37826</v>
      </c>
      <c r="K12" s="13">
        <v>2473</v>
      </c>
      <c r="L12" s="13">
        <v>7974</v>
      </c>
      <c r="M12" s="13">
        <v>8779</v>
      </c>
      <c r="N12" s="13">
        <v>667.27560000000005</v>
      </c>
      <c r="O12" s="13">
        <v>320.38999999999982</v>
      </c>
      <c r="P12" s="13">
        <v>0</v>
      </c>
      <c r="Q12" s="13">
        <v>0</v>
      </c>
      <c r="R12" s="13">
        <v>0</v>
      </c>
      <c r="S12" s="13"/>
      <c r="T12" s="13">
        <v>0</v>
      </c>
      <c r="U12" s="14">
        <v>1080625.2007999998</v>
      </c>
      <c r="V12" s="91"/>
    </row>
    <row r="13" spans="1:38" x14ac:dyDescent="0.25">
      <c r="A13" s="12" t="s">
        <v>30</v>
      </c>
      <c r="B13" s="108" t="s">
        <v>124</v>
      </c>
      <c r="C13" s="69"/>
      <c r="D13" s="13">
        <v>0</v>
      </c>
      <c r="E13" s="13">
        <v>200</v>
      </c>
      <c r="F13" s="13">
        <v>0</v>
      </c>
      <c r="G13" s="13">
        <v>0</v>
      </c>
      <c r="H13" s="13">
        <v>0</v>
      </c>
      <c r="I13" s="13">
        <v>37.000000000000014</v>
      </c>
      <c r="J13" s="13">
        <v>0</v>
      </c>
      <c r="K13" s="13">
        <v>0</v>
      </c>
      <c r="L13" s="13">
        <v>850420</v>
      </c>
      <c r="M13" s="13">
        <v>0</v>
      </c>
      <c r="N13" s="13">
        <v>0</v>
      </c>
      <c r="O13" s="13">
        <v>359</v>
      </c>
      <c r="P13" s="13">
        <v>0</v>
      </c>
      <c r="Q13" s="13">
        <v>0</v>
      </c>
      <c r="R13" s="13">
        <v>10383</v>
      </c>
      <c r="S13" s="13"/>
      <c r="T13" s="13">
        <v>0</v>
      </c>
      <c r="U13" s="14">
        <v>861399</v>
      </c>
      <c r="V13" s="91"/>
    </row>
    <row r="14" spans="1:38" x14ac:dyDescent="0.25">
      <c r="A14" s="12" t="s">
        <v>31</v>
      </c>
      <c r="B14" s="108" t="s">
        <v>125</v>
      </c>
      <c r="C14" s="69"/>
      <c r="D14" s="13">
        <v>139</v>
      </c>
      <c r="E14" s="13">
        <v>1480</v>
      </c>
      <c r="F14" s="13">
        <v>78</v>
      </c>
      <c r="G14" s="13">
        <v>0</v>
      </c>
      <c r="H14" s="13">
        <v>0</v>
      </c>
      <c r="I14" s="13">
        <v>4314</v>
      </c>
      <c r="J14" s="13">
        <v>11.894110648423556</v>
      </c>
      <c r="K14" s="13">
        <v>1.1058893515764434</v>
      </c>
      <c r="L14" s="13">
        <v>1928</v>
      </c>
      <c r="M14" s="13">
        <v>0</v>
      </c>
      <c r="N14" s="13">
        <v>0</v>
      </c>
      <c r="O14" s="13">
        <v>0</v>
      </c>
      <c r="P14" s="13">
        <v>0</v>
      </c>
      <c r="Q14" s="13">
        <v>0</v>
      </c>
      <c r="R14" s="13">
        <v>0</v>
      </c>
      <c r="S14" s="13"/>
      <c r="T14" s="13">
        <v>0</v>
      </c>
      <c r="U14" s="14">
        <v>7952</v>
      </c>
      <c r="V14" s="91"/>
    </row>
    <row r="15" spans="1:38" x14ac:dyDescent="0.25">
      <c r="A15" s="12" t="s">
        <v>32</v>
      </c>
      <c r="B15" s="108" t="s">
        <v>126</v>
      </c>
      <c r="C15" s="69"/>
      <c r="D15" s="13">
        <v>21527</v>
      </c>
      <c r="E15" s="13">
        <v>212954</v>
      </c>
      <c r="F15" s="13">
        <v>20811</v>
      </c>
      <c r="G15" s="13">
        <v>1740</v>
      </c>
      <c r="H15" s="13">
        <v>0</v>
      </c>
      <c r="I15" s="13">
        <v>204827</v>
      </c>
      <c r="J15" s="13">
        <v>23955</v>
      </c>
      <c r="K15" s="13">
        <v>1675.0000000000009</v>
      </c>
      <c r="L15" s="13">
        <v>18346</v>
      </c>
      <c r="M15" s="13">
        <v>0</v>
      </c>
      <c r="N15" s="13">
        <v>0</v>
      </c>
      <c r="O15" s="13">
        <v>321</v>
      </c>
      <c r="P15" s="13">
        <v>824</v>
      </c>
      <c r="Q15" s="13">
        <v>0</v>
      </c>
      <c r="R15" s="13">
        <v>0</v>
      </c>
      <c r="S15" s="13"/>
      <c r="T15" s="13">
        <v>0</v>
      </c>
      <c r="U15" s="14">
        <v>506980</v>
      </c>
      <c r="V15" s="91"/>
    </row>
    <row r="16" spans="1:38" x14ac:dyDescent="0.25">
      <c r="A16" s="12" t="s">
        <v>33</v>
      </c>
      <c r="B16" s="108" t="s">
        <v>127</v>
      </c>
      <c r="C16" s="69"/>
      <c r="D16" s="13">
        <v>2139</v>
      </c>
      <c r="E16" s="13">
        <v>20683</v>
      </c>
      <c r="F16" s="13">
        <v>1689</v>
      </c>
      <c r="G16" s="13">
        <v>22</v>
      </c>
      <c r="H16" s="13">
        <v>0</v>
      </c>
      <c r="I16" s="13">
        <v>8027</v>
      </c>
      <c r="J16" s="13">
        <v>0</v>
      </c>
      <c r="K16" s="13">
        <v>0</v>
      </c>
      <c r="L16" s="13">
        <v>14692</v>
      </c>
      <c r="M16" s="13">
        <v>0</v>
      </c>
      <c r="N16" s="13">
        <v>0</v>
      </c>
      <c r="O16" s="13">
        <v>2</v>
      </c>
      <c r="P16" s="13">
        <v>658</v>
      </c>
      <c r="Q16" s="13">
        <v>0</v>
      </c>
      <c r="R16" s="13">
        <v>0</v>
      </c>
      <c r="S16" s="13"/>
      <c r="T16" s="13">
        <v>0</v>
      </c>
      <c r="U16" s="14">
        <v>47912</v>
      </c>
      <c r="V16" s="91"/>
    </row>
    <row r="17" spans="1:22" ht="20" x14ac:dyDescent="0.25">
      <c r="A17" s="12" t="s">
        <v>34</v>
      </c>
      <c r="B17" s="108" t="s">
        <v>97</v>
      </c>
      <c r="C17" s="69"/>
      <c r="D17" s="13">
        <v>13046</v>
      </c>
      <c r="E17" s="13">
        <v>122270</v>
      </c>
      <c r="F17" s="13">
        <v>5854</v>
      </c>
      <c r="G17" s="13">
        <v>0</v>
      </c>
      <c r="H17" s="13">
        <v>179.97919999999999</v>
      </c>
      <c r="I17" s="13">
        <v>40647.954609929082</v>
      </c>
      <c r="J17" s="13">
        <v>3170.12</v>
      </c>
      <c r="K17" s="13">
        <v>564.88000000000034</v>
      </c>
      <c r="L17" s="13">
        <v>2474</v>
      </c>
      <c r="M17" s="13">
        <v>1923</v>
      </c>
      <c r="N17" s="13">
        <v>145.93759999999997</v>
      </c>
      <c r="O17" s="13">
        <v>-1364.954609929079</v>
      </c>
      <c r="P17" s="13">
        <v>0</v>
      </c>
      <c r="Q17" s="13">
        <v>0</v>
      </c>
      <c r="R17" s="13">
        <v>0</v>
      </c>
      <c r="S17" s="13"/>
      <c r="T17" s="13">
        <v>0</v>
      </c>
      <c r="U17" s="14">
        <v>188910.91680000001</v>
      </c>
      <c r="V17" s="91"/>
    </row>
    <row r="18" spans="1:22" x14ac:dyDescent="0.25">
      <c r="A18" s="12" t="s">
        <v>35</v>
      </c>
      <c r="B18" s="108" t="s">
        <v>128</v>
      </c>
      <c r="C18" s="69"/>
      <c r="D18" s="13">
        <v>0</v>
      </c>
      <c r="E18" s="13">
        <v>240</v>
      </c>
      <c r="F18" s="13">
        <v>0</v>
      </c>
      <c r="G18" s="13">
        <v>0</v>
      </c>
      <c r="H18" s="13">
        <v>0</v>
      </c>
      <c r="I18" s="13">
        <v>19</v>
      </c>
      <c r="J18" s="13">
        <v>0</v>
      </c>
      <c r="K18" s="13">
        <v>0</v>
      </c>
      <c r="L18" s="13">
        <v>5633</v>
      </c>
      <c r="M18" s="13">
        <v>0</v>
      </c>
      <c r="N18" s="13">
        <v>0</v>
      </c>
      <c r="O18" s="13">
        <v>0</v>
      </c>
      <c r="P18" s="13">
        <v>0</v>
      </c>
      <c r="Q18" s="13">
        <v>0</v>
      </c>
      <c r="R18" s="13">
        <v>0</v>
      </c>
      <c r="S18" s="13"/>
      <c r="T18" s="13">
        <v>0</v>
      </c>
      <c r="U18" s="14">
        <v>5892</v>
      </c>
      <c r="V18" s="91"/>
    </row>
    <row r="19" spans="1:22" x14ac:dyDescent="0.25">
      <c r="A19" s="12" t="s">
        <v>36</v>
      </c>
      <c r="B19" s="108" t="s">
        <v>129</v>
      </c>
      <c r="C19" s="69"/>
      <c r="D19" s="13">
        <v>286</v>
      </c>
      <c r="E19" s="13">
        <v>2658</v>
      </c>
      <c r="F19" s="13">
        <v>120</v>
      </c>
      <c r="G19" s="13">
        <v>5</v>
      </c>
      <c r="H19" s="13">
        <v>0</v>
      </c>
      <c r="I19" s="13">
        <v>513</v>
      </c>
      <c r="J19" s="13">
        <v>8</v>
      </c>
      <c r="K19" s="13">
        <v>0</v>
      </c>
      <c r="L19" s="13">
        <v>24194</v>
      </c>
      <c r="M19" s="13">
        <v>0</v>
      </c>
      <c r="N19" s="13">
        <v>0</v>
      </c>
      <c r="O19" s="13">
        <v>1</v>
      </c>
      <c r="P19" s="13">
        <v>33</v>
      </c>
      <c r="Q19" s="13">
        <v>0</v>
      </c>
      <c r="R19" s="13">
        <v>0</v>
      </c>
      <c r="S19" s="13"/>
      <c r="T19" s="13">
        <v>0</v>
      </c>
      <c r="U19" s="14">
        <v>27818</v>
      </c>
      <c r="V19" s="91"/>
    </row>
    <row r="20" spans="1:22" x14ac:dyDescent="0.25">
      <c r="A20" s="12" t="s">
        <v>37</v>
      </c>
      <c r="B20" s="108" t="s">
        <v>130</v>
      </c>
      <c r="C20" s="69"/>
      <c r="D20" s="13">
        <v>0</v>
      </c>
      <c r="E20" s="13">
        <v>0</v>
      </c>
      <c r="F20" s="13">
        <v>0</v>
      </c>
      <c r="G20" s="13">
        <v>0</v>
      </c>
      <c r="H20" s="13">
        <v>25214</v>
      </c>
      <c r="I20" s="13">
        <v>0</v>
      </c>
      <c r="J20" s="13">
        <v>0</v>
      </c>
      <c r="K20" s="13">
        <v>0</v>
      </c>
      <c r="L20" s="13">
        <v>0</v>
      </c>
      <c r="M20" s="13">
        <v>0</v>
      </c>
      <c r="N20" s="13">
        <v>0</v>
      </c>
      <c r="O20" s="13">
        <v>0</v>
      </c>
      <c r="P20" s="13">
        <v>0</v>
      </c>
      <c r="Q20" s="13">
        <v>0</v>
      </c>
      <c r="R20" s="13">
        <v>0</v>
      </c>
      <c r="S20" s="13"/>
      <c r="T20" s="13">
        <v>0</v>
      </c>
      <c r="U20" s="14">
        <v>25214</v>
      </c>
      <c r="V20" s="91"/>
    </row>
    <row r="21" spans="1:22" x14ac:dyDescent="0.25">
      <c r="A21" s="15" t="s">
        <v>38</v>
      </c>
      <c r="B21" s="109" t="s">
        <v>98</v>
      </c>
      <c r="C21" s="70"/>
      <c r="D21" s="16">
        <v>114</v>
      </c>
      <c r="E21" s="16">
        <v>721</v>
      </c>
      <c r="F21" s="16">
        <v>22</v>
      </c>
      <c r="G21" s="16">
        <v>0</v>
      </c>
      <c r="H21" s="16">
        <v>0</v>
      </c>
      <c r="I21" s="16">
        <v>1852</v>
      </c>
      <c r="J21" s="16">
        <v>0</v>
      </c>
      <c r="K21" s="16">
        <v>0</v>
      </c>
      <c r="L21" s="16">
        <v>0</v>
      </c>
      <c r="M21" s="16">
        <v>0</v>
      </c>
      <c r="N21" s="16">
        <v>0</v>
      </c>
      <c r="O21" s="16">
        <v>0</v>
      </c>
      <c r="P21" s="16">
        <v>0</v>
      </c>
      <c r="Q21" s="16">
        <v>0</v>
      </c>
      <c r="R21" s="16">
        <v>0</v>
      </c>
      <c r="S21" s="16"/>
      <c r="T21" s="16">
        <v>0</v>
      </c>
      <c r="U21" s="17">
        <v>2709</v>
      </c>
      <c r="V21" s="74"/>
    </row>
    <row r="22" spans="1:22" x14ac:dyDescent="0.25">
      <c r="A22" s="92" t="s">
        <v>39</v>
      </c>
      <c r="B22" s="110" t="s">
        <v>131</v>
      </c>
      <c r="C22" s="72">
        <v>1219</v>
      </c>
      <c r="D22" s="73">
        <v>221782.789611404</v>
      </c>
      <c r="E22" s="73">
        <v>2461972.1377550624</v>
      </c>
      <c r="F22" s="73">
        <v>140898.78618594367</v>
      </c>
      <c r="G22" s="73">
        <v>17125.103050436675</v>
      </c>
      <c r="H22" s="73">
        <v>0</v>
      </c>
      <c r="I22" s="73">
        <v>1234801</v>
      </c>
      <c r="J22" s="73">
        <v>135166.08767571254</v>
      </c>
      <c r="K22" s="73">
        <v>1825.2295039212324</v>
      </c>
      <c r="L22" s="73">
        <v>153261.63437578146</v>
      </c>
      <c r="M22" s="73">
        <v>1614.4994699816145</v>
      </c>
      <c r="N22" s="73">
        <v>0</v>
      </c>
      <c r="O22" s="73">
        <v>4938.3725121056095</v>
      </c>
      <c r="P22" s="73">
        <v>573.0263108125323</v>
      </c>
      <c r="Q22" s="73">
        <v>21149.25162229663</v>
      </c>
      <c r="R22" s="73">
        <v>0</v>
      </c>
      <c r="S22" s="73">
        <v>0</v>
      </c>
      <c r="T22" s="73">
        <v>0</v>
      </c>
      <c r="U22" s="90">
        <f t="shared" ref="U22:U29" si="0">SUM(C22:T22)</f>
        <v>4396326.9180734595</v>
      </c>
      <c r="V22" s="96"/>
    </row>
    <row r="23" spans="1:22" x14ac:dyDescent="0.25">
      <c r="A23" s="93">
        <v>541</v>
      </c>
      <c r="B23" s="108" t="s">
        <v>134</v>
      </c>
      <c r="C23" s="69"/>
      <c r="D23" s="13">
        <v>2285.7160565187437</v>
      </c>
      <c r="E23" s="13">
        <v>2149.3015350332325</v>
      </c>
      <c r="F23" s="13">
        <v>1405.5421691073841</v>
      </c>
      <c r="G23" s="13">
        <v>0</v>
      </c>
      <c r="H23" s="13">
        <v>0</v>
      </c>
      <c r="I23" s="13">
        <v>9351.8985374037784</v>
      </c>
      <c r="J23" s="13">
        <v>202.2356615940447</v>
      </c>
      <c r="K23" s="13">
        <v>0</v>
      </c>
      <c r="L23" s="13">
        <v>673.53160674641356</v>
      </c>
      <c r="M23" s="13">
        <v>0</v>
      </c>
      <c r="N23" s="13">
        <v>0</v>
      </c>
      <c r="O23" s="13">
        <v>0</v>
      </c>
      <c r="P23" s="13">
        <v>0</v>
      </c>
      <c r="Q23" s="13">
        <v>0</v>
      </c>
      <c r="R23" s="13">
        <v>0</v>
      </c>
      <c r="S23" s="13">
        <v>0</v>
      </c>
      <c r="T23" s="13">
        <v>0</v>
      </c>
      <c r="U23" s="116">
        <v>18706.320430201635</v>
      </c>
      <c r="V23" s="95"/>
    </row>
    <row r="24" spans="1:22" x14ac:dyDescent="0.25">
      <c r="A24" s="93">
        <v>542</v>
      </c>
      <c r="B24" s="108" t="s">
        <v>135</v>
      </c>
      <c r="C24" s="69"/>
      <c r="D24" s="13">
        <v>4092.963561390397</v>
      </c>
      <c r="E24" s="13">
        <v>152298.04005749658</v>
      </c>
      <c r="F24" s="13">
        <v>5313.7918884693481</v>
      </c>
      <c r="G24" s="13">
        <v>1282.7059516744832</v>
      </c>
      <c r="H24" s="13">
        <v>0</v>
      </c>
      <c r="I24" s="13">
        <v>71738.708582623047</v>
      </c>
      <c r="J24" s="13">
        <v>5767.9161375400545</v>
      </c>
      <c r="K24" s="13">
        <v>137</v>
      </c>
      <c r="L24" s="13">
        <v>0</v>
      </c>
      <c r="M24" s="13">
        <v>0</v>
      </c>
      <c r="N24" s="13">
        <v>0</v>
      </c>
      <c r="O24" s="13">
        <v>0</v>
      </c>
      <c r="P24" s="13">
        <v>43.139311086191682</v>
      </c>
      <c r="Q24" s="13">
        <v>1592.1854333018259</v>
      </c>
      <c r="R24" s="13">
        <v>0</v>
      </c>
      <c r="S24" s="13">
        <v>0</v>
      </c>
      <c r="T24" s="13">
        <v>0</v>
      </c>
      <c r="U24" s="116">
        <v>194862.11269363374</v>
      </c>
      <c r="V24" s="95"/>
    </row>
    <row r="25" spans="1:22" x14ac:dyDescent="0.25">
      <c r="A25" s="93">
        <v>549</v>
      </c>
      <c r="B25" s="108" t="s">
        <v>136</v>
      </c>
      <c r="C25" s="69"/>
      <c r="D25" s="13">
        <v>10317.860443302481</v>
      </c>
      <c r="E25" s="13">
        <v>30898.042959800579</v>
      </c>
      <c r="F25" s="13">
        <v>3887.9913902258936</v>
      </c>
      <c r="G25" s="13">
        <v>6.5283015107386273</v>
      </c>
      <c r="H25" s="13">
        <v>0</v>
      </c>
      <c r="I25" s="13">
        <v>11961.03324425828</v>
      </c>
      <c r="J25" s="13">
        <v>4205.5971927017154</v>
      </c>
      <c r="K25" s="13">
        <v>0</v>
      </c>
      <c r="L25" s="13">
        <v>10864.509837703099</v>
      </c>
      <c r="M25" s="13">
        <v>121.54484631825953</v>
      </c>
      <c r="N25" s="13">
        <v>0</v>
      </c>
      <c r="O25" s="13">
        <v>371.77697435418105</v>
      </c>
      <c r="P25" s="13">
        <v>0</v>
      </c>
      <c r="Q25" s="13">
        <v>0</v>
      </c>
      <c r="R25" s="13">
        <v>0</v>
      </c>
      <c r="S25" s="13">
        <v>0</v>
      </c>
      <c r="T25" s="13">
        <v>0</v>
      </c>
      <c r="U25" s="116">
        <v>117401.53785479492</v>
      </c>
      <c r="V25" s="95"/>
    </row>
    <row r="26" spans="1:22" x14ac:dyDescent="0.25">
      <c r="A26" s="12" t="s">
        <v>46</v>
      </c>
      <c r="B26" s="108" t="s">
        <v>100</v>
      </c>
      <c r="C26" s="69"/>
      <c r="D26" s="13">
        <v>7810.5523507180405</v>
      </c>
      <c r="E26" s="13">
        <v>86703.58192192376</v>
      </c>
      <c r="F26" s="13">
        <v>4962.0502455856704</v>
      </c>
      <c r="G26" s="13">
        <v>603.09690450389803</v>
      </c>
      <c r="H26" s="13">
        <v>0</v>
      </c>
      <c r="I26" s="13">
        <v>43529.060854581396</v>
      </c>
      <c r="J26" s="13">
        <v>4760.1610823034471</v>
      </c>
      <c r="K26" s="13">
        <v>64.279336631262581</v>
      </c>
      <c r="L26" s="13">
        <v>5397.4342226737772</v>
      </c>
      <c r="M26" s="13">
        <v>56.858030564917811</v>
      </c>
      <c r="N26" s="13">
        <v>0</v>
      </c>
      <c r="O26" s="13">
        <v>173.91528486376538</v>
      </c>
      <c r="P26" s="13">
        <v>20.180339542045242</v>
      </c>
      <c r="Q26" s="13">
        <v>744.81585006613432</v>
      </c>
      <c r="R26" s="13">
        <v>0</v>
      </c>
      <c r="S26" s="13">
        <v>0</v>
      </c>
      <c r="T26" s="13">
        <v>0</v>
      </c>
      <c r="U26" s="116">
        <f t="shared" si="0"/>
        <v>154825.98642395809</v>
      </c>
      <c r="V26" s="96"/>
    </row>
    <row r="27" spans="1:22" ht="14.5" customHeight="1" x14ac:dyDescent="0.25">
      <c r="A27" s="12" t="s">
        <v>47</v>
      </c>
      <c r="B27" s="108" t="s">
        <v>101</v>
      </c>
      <c r="C27" s="69"/>
      <c r="D27" s="13">
        <v>666.35827316235395</v>
      </c>
      <c r="E27" s="13">
        <v>7397.1271853996805</v>
      </c>
      <c r="F27" s="13">
        <v>423.33795159689663</v>
      </c>
      <c r="G27" s="13">
        <v>51.453289574050807</v>
      </c>
      <c r="H27" s="13">
        <v>0</v>
      </c>
      <c r="I27" s="13">
        <v>3713.6873963556877</v>
      </c>
      <c r="J27" s="13">
        <v>406.113751799738</v>
      </c>
      <c r="K27" s="13">
        <v>5.4839998292428112</v>
      </c>
      <c r="L27" s="13">
        <v>460.48279130958582</v>
      </c>
      <c r="M27" s="13">
        <v>4.8508501526358589</v>
      </c>
      <c r="N27" s="13">
        <v>0</v>
      </c>
      <c r="O27" s="13">
        <v>14.837604780627784</v>
      </c>
      <c r="P27" s="13">
        <v>1.7216882501057678</v>
      </c>
      <c r="Q27" s="13">
        <v>63.544059547644252</v>
      </c>
      <c r="R27" s="13">
        <v>0</v>
      </c>
      <c r="S27" s="13">
        <v>0</v>
      </c>
      <c r="T27" s="13">
        <v>0</v>
      </c>
      <c r="U27" s="116">
        <f t="shared" si="0"/>
        <v>13208.99884175825</v>
      </c>
      <c r="V27" s="96"/>
    </row>
    <row r="28" spans="1:22" x14ac:dyDescent="0.25">
      <c r="A28" s="12" t="s">
        <v>48</v>
      </c>
      <c r="B28" s="108" t="s">
        <v>102</v>
      </c>
      <c r="C28" s="69"/>
      <c r="D28" s="13">
        <v>1492.5840130255558</v>
      </c>
      <c r="E28" s="13">
        <v>16568.91528763876</v>
      </c>
      <c r="F28" s="13">
        <v>948.23983449900686</v>
      </c>
      <c r="G28" s="13">
        <v>115.25085007399812</v>
      </c>
      <c r="H28" s="13">
        <v>0</v>
      </c>
      <c r="I28" s="13">
        <v>8318.3336358525048</v>
      </c>
      <c r="J28" s="13">
        <v>909.65913956384657</v>
      </c>
      <c r="K28" s="13">
        <v>12.283678018609059</v>
      </c>
      <c r="L28" s="13">
        <v>1031.4410134360448</v>
      </c>
      <c r="M28" s="13">
        <v>10.865478345524805</v>
      </c>
      <c r="N28" s="13">
        <v>0</v>
      </c>
      <c r="O28" s="13">
        <v>33.234931686307384</v>
      </c>
      <c r="P28" s="13">
        <v>3.8564304834491145</v>
      </c>
      <c r="Q28" s="13">
        <v>142.333113016591</v>
      </c>
      <c r="R28" s="13">
        <v>0</v>
      </c>
      <c r="S28" s="13">
        <v>0</v>
      </c>
      <c r="T28" s="13">
        <v>0</v>
      </c>
      <c r="U28" s="14">
        <f t="shared" si="0"/>
        <v>29586.997405640195</v>
      </c>
      <c r="V28" s="96"/>
    </row>
    <row r="29" spans="1:22" x14ac:dyDescent="0.25">
      <c r="A29" s="15" t="s">
        <v>49</v>
      </c>
      <c r="B29" s="109" t="s">
        <v>103</v>
      </c>
      <c r="C29" s="67"/>
      <c r="D29" s="6">
        <v>8157.1756904786989</v>
      </c>
      <c r="E29" s="6">
        <v>90551.387273644636</v>
      </c>
      <c r="F29" s="6">
        <v>5182.2603345721391</v>
      </c>
      <c r="G29" s="6">
        <v>629.8616522261558</v>
      </c>
      <c r="H29" s="6">
        <v>0</v>
      </c>
      <c r="I29" s="6">
        <v>45460.830564654825</v>
      </c>
      <c r="J29" s="6">
        <v>4971.411562174444</v>
      </c>
      <c r="K29" s="6">
        <v>67.131979740258515</v>
      </c>
      <c r="L29" s="6">
        <v>5636.966152349617</v>
      </c>
      <c r="M29" s="6">
        <v>59.381324637047491</v>
      </c>
      <c r="N29" s="6">
        <v>0</v>
      </c>
      <c r="O29" s="6">
        <v>181.63344539428954</v>
      </c>
      <c r="P29" s="6">
        <v>21.07591982567585</v>
      </c>
      <c r="Q29" s="6">
        <v>777.86992177117349</v>
      </c>
      <c r="R29" s="6">
        <v>0</v>
      </c>
      <c r="S29" s="6">
        <v>0</v>
      </c>
      <c r="T29" s="6">
        <v>0</v>
      </c>
      <c r="U29" s="7">
        <f t="shared" si="0"/>
        <v>161696.98582146893</v>
      </c>
      <c r="V29" s="97"/>
    </row>
    <row r="30" spans="1:22" x14ac:dyDescent="0.25">
      <c r="A30" s="20" t="s">
        <v>50</v>
      </c>
      <c r="B30" s="110" t="s">
        <v>104</v>
      </c>
      <c r="C30" s="71"/>
      <c r="D30" s="21">
        <v>0</v>
      </c>
      <c r="E30" s="21">
        <v>0</v>
      </c>
      <c r="F30" s="21">
        <v>0</v>
      </c>
      <c r="G30" s="21">
        <v>0</v>
      </c>
      <c r="H30" s="21">
        <v>115791</v>
      </c>
      <c r="I30" s="21">
        <v>0</v>
      </c>
      <c r="J30" s="21">
        <v>0</v>
      </c>
      <c r="K30" s="21">
        <v>0</v>
      </c>
      <c r="L30" s="21">
        <v>22</v>
      </c>
      <c r="M30" s="21">
        <v>0</v>
      </c>
      <c r="N30" s="21">
        <v>3443</v>
      </c>
      <c r="O30" s="21">
        <v>0</v>
      </c>
      <c r="P30" s="21">
        <v>0</v>
      </c>
      <c r="Q30" s="21">
        <v>0</v>
      </c>
      <c r="R30" s="21">
        <v>0</v>
      </c>
      <c r="S30" s="21"/>
      <c r="T30" s="21">
        <v>0</v>
      </c>
      <c r="U30" s="22">
        <v>119256</v>
      </c>
      <c r="V30" s="96"/>
    </row>
    <row r="31" spans="1:22" x14ac:dyDescent="0.25">
      <c r="A31" s="12" t="s">
        <v>51</v>
      </c>
      <c r="B31" s="108" t="s">
        <v>137</v>
      </c>
      <c r="C31" s="69"/>
      <c r="D31" s="13">
        <v>9122</v>
      </c>
      <c r="E31" s="13">
        <v>108193</v>
      </c>
      <c r="F31" s="13">
        <v>7210</v>
      </c>
      <c r="G31" s="13">
        <v>0</v>
      </c>
      <c r="H31" s="13">
        <v>0</v>
      </c>
      <c r="I31" s="13">
        <v>43157.100076222931</v>
      </c>
      <c r="J31" s="13">
        <v>735.98728813559228</v>
      </c>
      <c r="K31" s="13">
        <v>1797.0127118644077</v>
      </c>
      <c r="L31" s="13">
        <v>60887</v>
      </c>
      <c r="M31" s="13">
        <v>0</v>
      </c>
      <c r="N31" s="13">
        <v>81727</v>
      </c>
      <c r="O31" s="13">
        <v>-262.10007622292989</v>
      </c>
      <c r="P31" s="13">
        <v>0</v>
      </c>
      <c r="Q31" s="13">
        <v>0</v>
      </c>
      <c r="R31" s="13">
        <v>0</v>
      </c>
      <c r="S31" s="13"/>
      <c r="T31" s="13">
        <v>0</v>
      </c>
      <c r="U31" s="14">
        <v>312567</v>
      </c>
      <c r="V31" s="91"/>
    </row>
    <row r="32" spans="1:22" x14ac:dyDescent="0.25">
      <c r="A32" s="12" t="s">
        <v>52</v>
      </c>
      <c r="B32" s="108" t="s">
        <v>138</v>
      </c>
      <c r="C32" s="69"/>
      <c r="D32" s="13">
        <v>428</v>
      </c>
      <c r="E32" s="13">
        <v>13989</v>
      </c>
      <c r="F32" s="13">
        <v>155</v>
      </c>
      <c r="G32" s="13">
        <v>-1485</v>
      </c>
      <c r="H32" s="13">
        <v>29607</v>
      </c>
      <c r="I32" s="13">
        <v>110296.73012599202</v>
      </c>
      <c r="J32" s="13">
        <v>1</v>
      </c>
      <c r="K32" s="13">
        <v>0</v>
      </c>
      <c r="L32" s="13">
        <v>54691</v>
      </c>
      <c r="M32" s="13">
        <v>-83931</v>
      </c>
      <c r="N32" s="13">
        <v>0</v>
      </c>
      <c r="O32" s="13">
        <v>2138.2698740079809</v>
      </c>
      <c r="P32" s="13">
        <v>0</v>
      </c>
      <c r="Q32" s="13">
        <v>0</v>
      </c>
      <c r="R32" s="13">
        <v>0</v>
      </c>
      <c r="S32" s="13"/>
      <c r="T32" s="13">
        <v>0</v>
      </c>
      <c r="U32" s="14">
        <v>125890.00000000003</v>
      </c>
      <c r="V32" s="91"/>
    </row>
    <row r="33" spans="1:22" x14ac:dyDescent="0.25">
      <c r="A33" s="12" t="s">
        <v>53</v>
      </c>
      <c r="B33" s="108" t="s">
        <v>139</v>
      </c>
      <c r="C33" s="69"/>
      <c r="D33" s="13">
        <v>13268</v>
      </c>
      <c r="E33" s="13">
        <v>131094</v>
      </c>
      <c r="F33" s="13">
        <v>8160</v>
      </c>
      <c r="G33" s="13">
        <v>1484</v>
      </c>
      <c r="H33" s="13">
        <v>0</v>
      </c>
      <c r="I33" s="13">
        <v>41696.564139353453</v>
      </c>
      <c r="J33" s="13">
        <v>800.66737288135596</v>
      </c>
      <c r="K33" s="13">
        <v>0.33262711864406808</v>
      </c>
      <c r="L33" s="13">
        <v>124140</v>
      </c>
      <c r="M33" s="13">
        <v>83931</v>
      </c>
      <c r="N33" s="13">
        <v>0</v>
      </c>
      <c r="O33" s="13">
        <v>-0.56413935345021304</v>
      </c>
      <c r="P33" s="13">
        <v>0</v>
      </c>
      <c r="Q33" s="13">
        <v>0</v>
      </c>
      <c r="R33" s="13">
        <v>0</v>
      </c>
      <c r="S33" s="13"/>
      <c r="T33" s="13">
        <v>0</v>
      </c>
      <c r="U33" s="14">
        <v>404574</v>
      </c>
      <c r="V33" s="91"/>
    </row>
    <row r="34" spans="1:22" x14ac:dyDescent="0.25">
      <c r="A34" s="12" t="s">
        <v>54</v>
      </c>
      <c r="B34" s="108" t="s">
        <v>140</v>
      </c>
      <c r="C34" s="69"/>
      <c r="D34" s="13">
        <v>1709</v>
      </c>
      <c r="E34" s="13">
        <v>11492</v>
      </c>
      <c r="F34" s="13">
        <v>1022</v>
      </c>
      <c r="G34" s="13">
        <v>0</v>
      </c>
      <c r="H34" s="13">
        <v>0</v>
      </c>
      <c r="I34" s="13">
        <v>14917.172896394222</v>
      </c>
      <c r="J34" s="13">
        <v>1775.8792372881355</v>
      </c>
      <c r="K34" s="13">
        <v>0.12076271186440687</v>
      </c>
      <c r="L34" s="13">
        <v>11214</v>
      </c>
      <c r="M34" s="13">
        <v>18576</v>
      </c>
      <c r="N34" s="13">
        <v>0</v>
      </c>
      <c r="O34" s="13">
        <v>-8168.1728963942223</v>
      </c>
      <c r="P34" s="13">
        <v>0</v>
      </c>
      <c r="Q34" s="13">
        <v>0</v>
      </c>
      <c r="R34" s="13">
        <v>0</v>
      </c>
      <c r="S34" s="13"/>
      <c r="T34" s="13">
        <v>0</v>
      </c>
      <c r="U34" s="14">
        <v>52537.999999999993</v>
      </c>
      <c r="V34" s="91"/>
    </row>
    <row r="35" spans="1:22" x14ac:dyDescent="0.25">
      <c r="A35" s="15" t="s">
        <v>55</v>
      </c>
      <c r="B35" s="109" t="s">
        <v>105</v>
      </c>
      <c r="C35" s="70"/>
      <c r="D35" s="16">
        <v>3691</v>
      </c>
      <c r="E35" s="16">
        <v>32222</v>
      </c>
      <c r="F35" s="16">
        <v>2115</v>
      </c>
      <c r="G35" s="16">
        <v>220</v>
      </c>
      <c r="H35" s="16">
        <v>0</v>
      </c>
      <c r="I35" s="16">
        <v>63008.543559162441</v>
      </c>
      <c r="J35" s="16">
        <v>2027.4618644067796</v>
      </c>
      <c r="K35" s="16">
        <v>3.5381355932203413</v>
      </c>
      <c r="L35" s="16">
        <v>1528</v>
      </c>
      <c r="M35" s="16">
        <v>0</v>
      </c>
      <c r="N35" s="16">
        <v>0</v>
      </c>
      <c r="O35" s="16">
        <v>8424.4564408375554</v>
      </c>
      <c r="P35" s="16">
        <v>0</v>
      </c>
      <c r="Q35" s="16">
        <v>2644</v>
      </c>
      <c r="R35" s="16">
        <v>0</v>
      </c>
      <c r="S35" s="16"/>
      <c r="T35" s="16">
        <v>0</v>
      </c>
      <c r="U35" s="17">
        <v>115884</v>
      </c>
      <c r="V35" s="74"/>
    </row>
    <row r="36" spans="1:22" x14ac:dyDescent="0.25">
      <c r="A36" s="20" t="s">
        <v>56</v>
      </c>
      <c r="B36" s="110" t="s">
        <v>141</v>
      </c>
      <c r="C36" s="21"/>
      <c r="D36" s="21">
        <v>7158</v>
      </c>
      <c r="E36" s="21">
        <v>64592</v>
      </c>
      <c r="F36" s="21">
        <v>4520</v>
      </c>
      <c r="G36" s="21">
        <v>0</v>
      </c>
      <c r="H36" s="21">
        <v>0</v>
      </c>
      <c r="I36" s="21">
        <v>-3193.3438102497421</v>
      </c>
      <c r="J36" s="21">
        <v>0</v>
      </c>
      <c r="K36" s="21">
        <v>0</v>
      </c>
      <c r="L36" s="21">
        <v>10728</v>
      </c>
      <c r="M36" s="21">
        <v>329991</v>
      </c>
      <c r="N36" s="21">
        <v>0</v>
      </c>
      <c r="O36" s="21">
        <v>5389.3438102497421</v>
      </c>
      <c r="P36" s="21">
        <v>73604</v>
      </c>
      <c r="Q36" s="21">
        <v>0</v>
      </c>
      <c r="R36" s="21">
        <v>0</v>
      </c>
      <c r="S36" s="21"/>
      <c r="T36" s="21">
        <v>0</v>
      </c>
      <c r="U36" s="22">
        <v>492789</v>
      </c>
      <c r="V36" s="91"/>
    </row>
    <row r="37" spans="1:22" x14ac:dyDescent="0.25">
      <c r="A37" s="12" t="s">
        <v>57</v>
      </c>
      <c r="B37" s="108" t="s">
        <v>142</v>
      </c>
      <c r="C37" s="69"/>
      <c r="D37" s="13">
        <v>0</v>
      </c>
      <c r="E37" s="13">
        <v>1058</v>
      </c>
      <c r="F37" s="13">
        <v>130</v>
      </c>
      <c r="G37" s="13">
        <v>0</v>
      </c>
      <c r="H37" s="13">
        <v>0</v>
      </c>
      <c r="I37" s="13">
        <v>503</v>
      </c>
      <c r="J37" s="13">
        <v>117.74479476502083</v>
      </c>
      <c r="K37" s="13">
        <v>0.25520523497917924</v>
      </c>
      <c r="L37" s="13">
        <v>0</v>
      </c>
      <c r="M37" s="13">
        <v>0</v>
      </c>
      <c r="N37" s="13">
        <v>0</v>
      </c>
      <c r="O37" s="13">
        <v>0</v>
      </c>
      <c r="P37" s="13">
        <v>0</v>
      </c>
      <c r="Q37" s="13">
        <v>0</v>
      </c>
      <c r="R37" s="13">
        <v>0</v>
      </c>
      <c r="S37" s="13"/>
      <c r="T37" s="13">
        <v>0</v>
      </c>
      <c r="U37" s="14">
        <v>1809</v>
      </c>
      <c r="V37" s="74"/>
    </row>
    <row r="38" spans="1:22" x14ac:dyDescent="0.25">
      <c r="A38" s="12" t="s">
        <v>58</v>
      </c>
      <c r="B38" s="108" t="s">
        <v>143</v>
      </c>
      <c r="C38" s="69"/>
      <c r="D38" s="13">
        <v>1549</v>
      </c>
      <c r="E38" s="13">
        <v>14168</v>
      </c>
      <c r="F38" s="13">
        <v>874</v>
      </c>
      <c r="G38" s="13">
        <v>0</v>
      </c>
      <c r="H38" s="13">
        <v>0</v>
      </c>
      <c r="I38" s="13">
        <v>11881</v>
      </c>
      <c r="J38" s="13">
        <v>689.31343375485312</v>
      </c>
      <c r="K38" s="13">
        <v>3.6865662451469086</v>
      </c>
      <c r="L38" s="13">
        <v>12138</v>
      </c>
      <c r="M38" s="13">
        <v>0</v>
      </c>
      <c r="N38" s="13">
        <v>0</v>
      </c>
      <c r="O38" s="13">
        <v>4213</v>
      </c>
      <c r="P38" s="13">
        <v>0</v>
      </c>
      <c r="Q38" s="13">
        <v>0</v>
      </c>
      <c r="R38" s="13">
        <v>0</v>
      </c>
      <c r="S38" s="13"/>
      <c r="T38" s="13">
        <v>0</v>
      </c>
      <c r="U38" s="14">
        <v>45516</v>
      </c>
      <c r="V38" s="74"/>
    </row>
    <row r="39" spans="1:22" x14ac:dyDescent="0.25">
      <c r="A39" s="12" t="s">
        <v>59</v>
      </c>
      <c r="B39" s="108" t="s">
        <v>144</v>
      </c>
      <c r="C39" s="69"/>
      <c r="D39" s="13">
        <v>2840</v>
      </c>
      <c r="E39" s="13">
        <v>26908</v>
      </c>
      <c r="F39" s="13">
        <v>2527</v>
      </c>
      <c r="G39" s="13">
        <v>29</v>
      </c>
      <c r="H39" s="13">
        <v>0</v>
      </c>
      <c r="I39" s="13">
        <v>24371.5</v>
      </c>
      <c r="J39" s="13">
        <v>2752.8984040802889</v>
      </c>
      <c r="K39" s="13">
        <v>1111.1015959197109</v>
      </c>
      <c r="L39" s="13">
        <v>18688</v>
      </c>
      <c r="M39" s="13">
        <v>135868</v>
      </c>
      <c r="N39" s="13">
        <v>0</v>
      </c>
      <c r="O39" s="13">
        <v>4419.5</v>
      </c>
      <c r="P39" s="13">
        <v>45600</v>
      </c>
      <c r="Q39" s="13">
        <v>153</v>
      </c>
      <c r="R39" s="13">
        <v>8588</v>
      </c>
      <c r="S39" s="13"/>
      <c r="T39" s="13">
        <v>0</v>
      </c>
      <c r="U39" s="14">
        <v>273856</v>
      </c>
      <c r="V39" s="74"/>
    </row>
    <row r="40" spans="1:22" ht="20" x14ac:dyDescent="0.25">
      <c r="A40" s="12" t="s">
        <v>60</v>
      </c>
      <c r="B40" s="108" t="s">
        <v>145</v>
      </c>
      <c r="C40" s="69"/>
      <c r="D40" s="13">
        <v>3822</v>
      </c>
      <c r="E40" s="13">
        <v>36733</v>
      </c>
      <c r="F40" s="13">
        <v>2885</v>
      </c>
      <c r="G40" s="13">
        <v>11</v>
      </c>
      <c r="H40" s="13">
        <v>3718</v>
      </c>
      <c r="I40" s="13">
        <v>105553.53901734104</v>
      </c>
      <c r="J40" s="13">
        <v>8962.5097071405071</v>
      </c>
      <c r="K40" s="13">
        <v>345.49029285949342</v>
      </c>
      <c r="L40" s="13">
        <v>58070</v>
      </c>
      <c r="M40" s="13">
        <v>0</v>
      </c>
      <c r="N40" s="13">
        <v>0</v>
      </c>
      <c r="O40" s="13">
        <v>6187.4609826589585</v>
      </c>
      <c r="P40" s="13">
        <v>0</v>
      </c>
      <c r="Q40" s="13">
        <v>96</v>
      </c>
      <c r="R40" s="13">
        <v>18630</v>
      </c>
      <c r="S40" s="13"/>
      <c r="T40" s="13">
        <v>0</v>
      </c>
      <c r="U40" s="14">
        <v>245014</v>
      </c>
      <c r="V40" s="74"/>
    </row>
    <row r="41" spans="1:22" x14ac:dyDescent="0.25">
      <c r="A41" s="12" t="s">
        <v>61</v>
      </c>
      <c r="B41" s="108" t="s">
        <v>146</v>
      </c>
      <c r="C41" s="69"/>
      <c r="D41" s="13">
        <v>0</v>
      </c>
      <c r="E41" s="13">
        <v>2909</v>
      </c>
      <c r="F41" s="13">
        <v>358</v>
      </c>
      <c r="G41" s="13">
        <v>0</v>
      </c>
      <c r="H41" s="13">
        <v>0</v>
      </c>
      <c r="I41" s="13">
        <v>1312</v>
      </c>
      <c r="J41" s="13">
        <v>0</v>
      </c>
      <c r="K41" s="13">
        <v>0</v>
      </c>
      <c r="L41" s="13">
        <v>3897</v>
      </c>
      <c r="M41" s="13">
        <v>0</v>
      </c>
      <c r="N41" s="13">
        <v>0</v>
      </c>
      <c r="O41" s="13">
        <v>0</v>
      </c>
      <c r="P41" s="13">
        <v>0</v>
      </c>
      <c r="Q41" s="13">
        <v>0</v>
      </c>
      <c r="R41" s="13">
        <v>0</v>
      </c>
      <c r="S41" s="13"/>
      <c r="T41" s="13">
        <v>0</v>
      </c>
      <c r="U41" s="14">
        <v>8476</v>
      </c>
      <c r="V41" s="74"/>
    </row>
    <row r="42" spans="1:22" x14ac:dyDescent="0.25">
      <c r="A42" s="15" t="s">
        <v>62</v>
      </c>
      <c r="B42" s="109" t="s">
        <v>144</v>
      </c>
      <c r="C42" s="70"/>
      <c r="D42" s="16">
        <v>35</v>
      </c>
      <c r="E42" s="16">
        <v>396</v>
      </c>
      <c r="F42" s="16">
        <v>167</v>
      </c>
      <c r="G42" s="16">
        <v>0</v>
      </c>
      <c r="H42" s="16">
        <v>0</v>
      </c>
      <c r="I42" s="16">
        <v>121</v>
      </c>
      <c r="J42" s="16">
        <v>2.7447947650208206</v>
      </c>
      <c r="K42" s="16">
        <v>0.25520523497917924</v>
      </c>
      <c r="L42" s="16">
        <v>0</v>
      </c>
      <c r="M42" s="16">
        <v>0</v>
      </c>
      <c r="N42" s="16">
        <v>0</v>
      </c>
      <c r="O42" s="16">
        <v>0</v>
      </c>
      <c r="P42" s="16">
        <v>0</v>
      </c>
      <c r="Q42" s="16">
        <v>0</v>
      </c>
      <c r="R42" s="16">
        <v>0</v>
      </c>
      <c r="S42" s="16"/>
      <c r="T42" s="16">
        <v>0</v>
      </c>
      <c r="U42" s="17">
        <v>722</v>
      </c>
      <c r="V42" s="74"/>
    </row>
    <row r="43" spans="1:22" x14ac:dyDescent="0.25">
      <c r="A43" s="20" t="s">
        <v>63</v>
      </c>
      <c r="B43" s="110" t="s">
        <v>147</v>
      </c>
      <c r="C43" s="71"/>
      <c r="D43" s="21">
        <v>8425</v>
      </c>
      <c r="E43" s="21">
        <v>80356</v>
      </c>
      <c r="F43" s="21">
        <v>6812</v>
      </c>
      <c r="G43" s="21">
        <v>68</v>
      </c>
      <c r="H43" s="21">
        <v>0</v>
      </c>
      <c r="I43" s="21">
        <v>11231.21387283237</v>
      </c>
      <c r="J43" s="21">
        <v>13553.472112537018</v>
      </c>
      <c r="K43" s="21">
        <v>2542.5278874629821</v>
      </c>
      <c r="L43" s="21">
        <v>5176</v>
      </c>
      <c r="M43" s="21">
        <v>0</v>
      </c>
      <c r="N43" s="21">
        <v>0</v>
      </c>
      <c r="O43" s="21">
        <v>-727.21387283237027</v>
      </c>
      <c r="P43" s="21">
        <v>0</v>
      </c>
      <c r="Q43" s="21">
        <v>455</v>
      </c>
      <c r="R43" s="21">
        <v>0</v>
      </c>
      <c r="S43" s="21"/>
      <c r="T43" s="21">
        <v>0</v>
      </c>
      <c r="U43" s="22">
        <v>127892</v>
      </c>
      <c r="V43" s="91"/>
    </row>
    <row r="44" spans="1:22" x14ac:dyDescent="0.25">
      <c r="A44" s="12" t="s">
        <v>64</v>
      </c>
      <c r="B44" s="108" t="s">
        <v>148</v>
      </c>
      <c r="C44" s="69"/>
      <c r="D44" s="13">
        <v>776</v>
      </c>
      <c r="E44" s="13">
        <v>7156</v>
      </c>
      <c r="F44" s="13">
        <v>704</v>
      </c>
      <c r="G44" s="13">
        <v>20</v>
      </c>
      <c r="H44" s="13">
        <v>0</v>
      </c>
      <c r="I44" s="13">
        <v>9250</v>
      </c>
      <c r="J44" s="13">
        <v>6025.658873628332</v>
      </c>
      <c r="K44" s="13">
        <v>100.34112637166773</v>
      </c>
      <c r="L44" s="13">
        <v>442</v>
      </c>
      <c r="M44" s="13">
        <v>23120</v>
      </c>
      <c r="N44" s="13">
        <v>0</v>
      </c>
      <c r="O44" s="13">
        <v>19401</v>
      </c>
      <c r="P44" s="13">
        <v>0</v>
      </c>
      <c r="Q44" s="13">
        <v>-6</v>
      </c>
      <c r="R44" s="13">
        <v>0</v>
      </c>
      <c r="S44" s="13"/>
      <c r="T44" s="13">
        <v>0</v>
      </c>
      <c r="U44" s="14">
        <v>66989</v>
      </c>
      <c r="V44" s="91"/>
    </row>
    <row r="45" spans="1:22" x14ac:dyDescent="0.25">
      <c r="A45" s="12" t="s">
        <v>65</v>
      </c>
      <c r="B45" s="108" t="s">
        <v>106</v>
      </c>
      <c r="C45" s="69"/>
      <c r="D45" s="13">
        <v>4658</v>
      </c>
      <c r="E45" s="13">
        <v>45650.400000000001</v>
      </c>
      <c r="F45" s="13">
        <v>1973</v>
      </c>
      <c r="G45" s="13">
        <v>8</v>
      </c>
      <c r="H45" s="13">
        <v>0</v>
      </c>
      <c r="I45" s="13">
        <v>55959.247109826589</v>
      </c>
      <c r="J45" s="13">
        <v>14832.119776242185</v>
      </c>
      <c r="K45" s="13">
        <v>57.880223757815102</v>
      </c>
      <c r="L45" s="13">
        <v>6259</v>
      </c>
      <c r="M45" s="13">
        <v>32800</v>
      </c>
      <c r="N45" s="13">
        <v>0</v>
      </c>
      <c r="O45" s="13">
        <v>16994.752890173411</v>
      </c>
      <c r="P45" s="13">
        <v>0</v>
      </c>
      <c r="Q45" s="13">
        <v>27</v>
      </c>
      <c r="R45" s="13">
        <v>0</v>
      </c>
      <c r="S45" s="13"/>
      <c r="T45" s="13">
        <v>0</v>
      </c>
      <c r="U45" s="14">
        <v>179219.4</v>
      </c>
      <c r="V45" s="91"/>
    </row>
    <row r="46" spans="1:22" x14ac:dyDescent="0.25">
      <c r="A46" s="12" t="s">
        <v>66</v>
      </c>
      <c r="B46" s="108" t="s">
        <v>107</v>
      </c>
      <c r="C46" s="69"/>
      <c r="D46" s="13">
        <v>141</v>
      </c>
      <c r="E46" s="13">
        <v>1637</v>
      </c>
      <c r="F46" s="13">
        <v>95</v>
      </c>
      <c r="G46" s="13">
        <v>24</v>
      </c>
      <c r="H46" s="13">
        <v>0</v>
      </c>
      <c r="I46" s="13">
        <v>1244</v>
      </c>
      <c r="J46" s="13">
        <v>341</v>
      </c>
      <c r="K46" s="13">
        <v>0</v>
      </c>
      <c r="L46" s="13">
        <v>329</v>
      </c>
      <c r="M46" s="13">
        <v>0</v>
      </c>
      <c r="N46" s="13">
        <v>0</v>
      </c>
      <c r="O46" s="13">
        <v>0</v>
      </c>
      <c r="P46" s="13">
        <v>4578</v>
      </c>
      <c r="Q46" s="13">
        <v>0</v>
      </c>
      <c r="R46" s="13">
        <v>0</v>
      </c>
      <c r="S46" s="13"/>
      <c r="T46" s="13">
        <v>0</v>
      </c>
      <c r="U46" s="14">
        <v>8389</v>
      </c>
      <c r="V46" s="91"/>
    </row>
    <row r="47" spans="1:22" x14ac:dyDescent="0.25">
      <c r="A47" s="15" t="s">
        <v>67</v>
      </c>
      <c r="B47" s="109" t="s">
        <v>108</v>
      </c>
      <c r="C47" s="70"/>
      <c r="D47" s="16">
        <v>375</v>
      </c>
      <c r="E47" s="16">
        <v>3929</v>
      </c>
      <c r="F47" s="16">
        <v>88</v>
      </c>
      <c r="G47" s="16">
        <v>-142</v>
      </c>
      <c r="H47" s="16">
        <v>0</v>
      </c>
      <c r="I47" s="16">
        <v>2240</v>
      </c>
      <c r="J47" s="16">
        <v>1</v>
      </c>
      <c r="K47" s="16">
        <v>0</v>
      </c>
      <c r="L47" s="16">
        <v>702</v>
      </c>
      <c r="M47" s="16">
        <v>0</v>
      </c>
      <c r="N47" s="16">
        <v>0</v>
      </c>
      <c r="O47" s="16">
        <v>0</v>
      </c>
      <c r="P47" s="16">
        <v>0</v>
      </c>
      <c r="Q47" s="16">
        <v>0</v>
      </c>
      <c r="R47" s="16">
        <v>0</v>
      </c>
      <c r="S47" s="16"/>
      <c r="T47" s="16">
        <v>0</v>
      </c>
      <c r="U47" s="17">
        <v>7193</v>
      </c>
      <c r="V47" s="74"/>
    </row>
    <row r="48" spans="1:22" x14ac:dyDescent="0.25">
      <c r="A48" s="20" t="s">
        <v>68</v>
      </c>
      <c r="B48" s="110" t="s">
        <v>149</v>
      </c>
      <c r="C48" s="71"/>
      <c r="D48" s="21">
        <v>658</v>
      </c>
      <c r="E48" s="21">
        <v>5815</v>
      </c>
      <c r="F48" s="21">
        <v>456</v>
      </c>
      <c r="G48" s="21">
        <v>0</v>
      </c>
      <c r="H48" s="21">
        <v>0</v>
      </c>
      <c r="I48" s="21">
        <v>3113</v>
      </c>
      <c r="J48" s="21">
        <v>193</v>
      </c>
      <c r="K48" s="21">
        <v>0</v>
      </c>
      <c r="L48" s="21">
        <v>191</v>
      </c>
      <c r="M48" s="21">
        <v>330</v>
      </c>
      <c r="N48" s="21">
        <v>0</v>
      </c>
      <c r="O48" s="21">
        <v>17</v>
      </c>
      <c r="P48" s="21">
        <v>0</v>
      </c>
      <c r="Q48" s="21">
        <v>0</v>
      </c>
      <c r="R48" s="21">
        <v>0</v>
      </c>
      <c r="S48" s="21"/>
      <c r="T48" s="21">
        <v>0</v>
      </c>
      <c r="U48" s="22">
        <v>10773</v>
      </c>
      <c r="V48" s="91"/>
    </row>
    <row r="49" spans="1:24" x14ac:dyDescent="0.25">
      <c r="A49" s="12" t="s">
        <v>70</v>
      </c>
      <c r="B49" s="108" t="s">
        <v>151</v>
      </c>
      <c r="C49" s="69"/>
      <c r="D49" s="13">
        <v>0</v>
      </c>
      <c r="E49" s="13">
        <v>0</v>
      </c>
      <c r="F49" s="13">
        <v>0</v>
      </c>
      <c r="G49" s="13">
        <v>0</v>
      </c>
      <c r="H49" s="13">
        <v>0</v>
      </c>
      <c r="I49" s="13">
        <v>0</v>
      </c>
      <c r="J49" s="13">
        <v>0</v>
      </c>
      <c r="K49" s="13">
        <v>0</v>
      </c>
      <c r="L49" s="13">
        <v>0</v>
      </c>
      <c r="M49" s="13">
        <v>0</v>
      </c>
      <c r="N49" s="13">
        <v>0</v>
      </c>
      <c r="O49" s="13">
        <v>500</v>
      </c>
      <c r="P49" s="13">
        <v>0</v>
      </c>
      <c r="Q49" s="13">
        <v>0</v>
      </c>
      <c r="R49" s="13">
        <v>0</v>
      </c>
      <c r="S49" s="13"/>
      <c r="T49" s="13">
        <v>0</v>
      </c>
      <c r="U49" s="14">
        <v>500</v>
      </c>
      <c r="V49" s="91"/>
    </row>
    <row r="50" spans="1:24" x14ac:dyDescent="0.25">
      <c r="A50" s="15" t="s">
        <v>72</v>
      </c>
      <c r="B50" s="109" t="s">
        <v>109</v>
      </c>
      <c r="C50" s="70"/>
      <c r="D50" s="16">
        <v>1458</v>
      </c>
      <c r="E50" s="16">
        <v>11306</v>
      </c>
      <c r="F50" s="16">
        <v>1053</v>
      </c>
      <c r="G50" s="16">
        <v>0</v>
      </c>
      <c r="H50" s="16">
        <v>0</v>
      </c>
      <c r="I50" s="16">
        <v>20146</v>
      </c>
      <c r="J50" s="16">
        <v>570.54584432503907</v>
      </c>
      <c r="K50" s="16">
        <v>53.454155674960987</v>
      </c>
      <c r="L50" s="16">
        <v>6792</v>
      </c>
      <c r="M50" s="16">
        <v>0</v>
      </c>
      <c r="N50" s="16">
        <v>0</v>
      </c>
      <c r="O50" s="16">
        <v>155</v>
      </c>
      <c r="P50" s="16">
        <v>0</v>
      </c>
      <c r="Q50" s="16">
        <v>0</v>
      </c>
      <c r="R50" s="16">
        <v>0</v>
      </c>
      <c r="S50" s="16"/>
      <c r="T50" s="16">
        <v>0</v>
      </c>
      <c r="U50" s="17">
        <v>41534</v>
      </c>
      <c r="V50" s="74"/>
    </row>
    <row r="51" spans="1:24" x14ac:dyDescent="0.25">
      <c r="A51" s="20" t="s">
        <v>73</v>
      </c>
      <c r="B51" s="110" t="s">
        <v>110</v>
      </c>
      <c r="C51" s="71"/>
      <c r="D51" s="21">
        <v>6392</v>
      </c>
      <c r="E51" s="21">
        <v>60414</v>
      </c>
      <c r="F51" s="21">
        <v>5255</v>
      </c>
      <c r="G51" s="21">
        <v>0</v>
      </c>
      <c r="H51" s="21">
        <v>0</v>
      </c>
      <c r="I51" s="21">
        <v>40098.14</v>
      </c>
      <c r="J51" s="21">
        <v>4431.2207840236688</v>
      </c>
      <c r="K51" s="21">
        <v>407.77921597633156</v>
      </c>
      <c r="L51" s="21">
        <v>12296</v>
      </c>
      <c r="M51" s="21">
        <v>905</v>
      </c>
      <c r="N51" s="21">
        <v>0</v>
      </c>
      <c r="O51" s="21">
        <v>535.85999999999979</v>
      </c>
      <c r="P51" s="21">
        <v>6</v>
      </c>
      <c r="Q51" s="21">
        <v>0</v>
      </c>
      <c r="R51" s="21">
        <v>0</v>
      </c>
      <c r="S51" s="21"/>
      <c r="T51" s="21">
        <v>0</v>
      </c>
      <c r="U51" s="22">
        <v>130741</v>
      </c>
      <c r="V51" s="91"/>
    </row>
    <row r="52" spans="1:24" x14ac:dyDescent="0.25">
      <c r="A52" s="15" t="s">
        <v>74</v>
      </c>
      <c r="B52" s="109" t="s">
        <v>111</v>
      </c>
      <c r="C52" s="70"/>
      <c r="D52" s="16">
        <v>1047</v>
      </c>
      <c r="E52" s="16">
        <v>9714</v>
      </c>
      <c r="F52" s="16">
        <v>437</v>
      </c>
      <c r="G52" s="16">
        <v>0</v>
      </c>
      <c r="H52" s="16">
        <v>0</v>
      </c>
      <c r="I52" s="16">
        <v>8275.86</v>
      </c>
      <c r="J52" s="16">
        <v>542.77921597633133</v>
      </c>
      <c r="K52" s="16">
        <v>50.220784023668664</v>
      </c>
      <c r="L52" s="16">
        <v>2086</v>
      </c>
      <c r="M52" s="16">
        <v>3109</v>
      </c>
      <c r="N52" s="16">
        <v>0</v>
      </c>
      <c r="O52" s="16">
        <v>12.139999999999983</v>
      </c>
      <c r="P52" s="16">
        <v>2</v>
      </c>
      <c r="Q52" s="16">
        <v>0</v>
      </c>
      <c r="R52" s="16">
        <v>0</v>
      </c>
      <c r="S52" s="16"/>
      <c r="T52" s="16">
        <v>0</v>
      </c>
      <c r="U52" s="17">
        <v>25276</v>
      </c>
      <c r="V52" s="74"/>
    </row>
    <row r="53" spans="1:24" x14ac:dyDescent="0.25">
      <c r="A53" s="20" t="s">
        <v>75</v>
      </c>
      <c r="B53" s="110" t="s">
        <v>112</v>
      </c>
      <c r="C53" s="71"/>
      <c r="D53" s="21">
        <v>1872</v>
      </c>
      <c r="E53" s="21">
        <v>16725</v>
      </c>
      <c r="F53" s="21">
        <v>1536</v>
      </c>
      <c r="G53" s="21">
        <v>0</v>
      </c>
      <c r="H53" s="21">
        <v>0</v>
      </c>
      <c r="I53" s="21">
        <v>15979</v>
      </c>
      <c r="J53" s="21">
        <v>689</v>
      </c>
      <c r="K53" s="21">
        <v>0</v>
      </c>
      <c r="L53" s="21">
        <v>3968</v>
      </c>
      <c r="M53" s="21">
        <v>300</v>
      </c>
      <c r="N53" s="21">
        <v>0</v>
      </c>
      <c r="O53" s="21">
        <v>86</v>
      </c>
      <c r="P53" s="21">
        <v>0</v>
      </c>
      <c r="Q53" s="21">
        <v>0</v>
      </c>
      <c r="R53" s="21">
        <v>0</v>
      </c>
      <c r="S53" s="21"/>
      <c r="T53" s="21">
        <v>0</v>
      </c>
      <c r="U53" s="22">
        <v>41155</v>
      </c>
      <c r="V53" s="91"/>
    </row>
    <row r="54" spans="1:24" x14ac:dyDescent="0.25">
      <c r="A54" s="15" t="s">
        <v>76</v>
      </c>
      <c r="B54" s="109" t="s">
        <v>113</v>
      </c>
      <c r="C54" s="70"/>
      <c r="D54" s="16">
        <v>3071</v>
      </c>
      <c r="E54" s="16">
        <v>27976</v>
      </c>
      <c r="F54" s="16">
        <v>1042</v>
      </c>
      <c r="G54" s="16">
        <v>1</v>
      </c>
      <c r="H54" s="16">
        <v>0</v>
      </c>
      <c r="I54" s="16">
        <v>-29824.281597244786</v>
      </c>
      <c r="J54" s="16">
        <v>13297.686689395461</v>
      </c>
      <c r="K54" s="16">
        <v>490.31331060453886</v>
      </c>
      <c r="L54" s="16">
        <v>0</v>
      </c>
      <c r="M54" s="16">
        <v>70</v>
      </c>
      <c r="N54" s="16">
        <v>0</v>
      </c>
      <c r="O54" s="16">
        <v>-154.71840275521515</v>
      </c>
      <c r="P54" s="16">
        <v>0</v>
      </c>
      <c r="Q54" s="16">
        <v>2577</v>
      </c>
      <c r="R54" s="16">
        <v>0</v>
      </c>
      <c r="S54" s="16"/>
      <c r="T54" s="16">
        <v>0</v>
      </c>
      <c r="U54" s="17">
        <v>18546</v>
      </c>
      <c r="V54" s="74"/>
    </row>
    <row r="55" spans="1:24" x14ac:dyDescent="0.25">
      <c r="A55" s="20" t="s">
        <v>77</v>
      </c>
      <c r="B55" s="110" t="s">
        <v>153</v>
      </c>
      <c r="C55" s="71"/>
      <c r="D55" s="21">
        <v>4443</v>
      </c>
      <c r="E55" s="21">
        <v>40139</v>
      </c>
      <c r="F55" s="21">
        <v>4755</v>
      </c>
      <c r="G55" s="21">
        <v>149</v>
      </c>
      <c r="H55" s="21">
        <v>0</v>
      </c>
      <c r="I55" s="21">
        <v>82040.88524270583</v>
      </c>
      <c r="J55" s="21">
        <v>171345.62363967515</v>
      </c>
      <c r="K55" s="21">
        <v>4165.3763603248617</v>
      </c>
      <c r="L55" s="21">
        <v>41442</v>
      </c>
      <c r="M55" s="21">
        <v>0</v>
      </c>
      <c r="N55" s="21">
        <v>0</v>
      </c>
      <c r="O55" s="21">
        <v>461.11475729417117</v>
      </c>
      <c r="P55" s="21">
        <v>0</v>
      </c>
      <c r="Q55" s="21">
        <v>0</v>
      </c>
      <c r="R55" s="21">
        <v>0</v>
      </c>
      <c r="S55" s="21"/>
      <c r="T55" s="21">
        <v>0</v>
      </c>
      <c r="U55" s="22">
        <v>348941</v>
      </c>
      <c r="V55" s="91"/>
    </row>
    <row r="56" spans="1:24" x14ac:dyDescent="0.25">
      <c r="A56" s="12" t="s">
        <v>78</v>
      </c>
      <c r="B56" s="108" t="s">
        <v>154</v>
      </c>
      <c r="C56" s="69"/>
      <c r="D56" s="13">
        <v>1562</v>
      </c>
      <c r="E56" s="13">
        <v>14239</v>
      </c>
      <c r="F56" s="13">
        <v>1266</v>
      </c>
      <c r="G56" s="13">
        <v>29</v>
      </c>
      <c r="H56" s="13">
        <v>0</v>
      </c>
      <c r="I56" s="13">
        <v>22477</v>
      </c>
      <c r="J56" s="13">
        <v>2947.8081026425466</v>
      </c>
      <c r="K56" s="13">
        <v>1.1918973574535117</v>
      </c>
      <c r="L56" s="13">
        <v>2273</v>
      </c>
      <c r="M56" s="13">
        <v>0</v>
      </c>
      <c r="N56" s="13">
        <v>0</v>
      </c>
      <c r="O56" s="13">
        <v>75</v>
      </c>
      <c r="P56" s="13">
        <v>0</v>
      </c>
      <c r="Q56" s="13">
        <v>-11</v>
      </c>
      <c r="R56" s="13">
        <v>0</v>
      </c>
      <c r="S56" s="13"/>
      <c r="T56" s="13">
        <v>0</v>
      </c>
      <c r="U56" s="14">
        <v>44859</v>
      </c>
      <c r="V56" s="91"/>
    </row>
    <row r="57" spans="1:24" x14ac:dyDescent="0.25">
      <c r="A57" s="12" t="s">
        <v>79</v>
      </c>
      <c r="B57" s="108" t="s">
        <v>155</v>
      </c>
      <c r="C57" s="69"/>
      <c r="D57" s="13">
        <v>615</v>
      </c>
      <c r="E57" s="13">
        <v>5596</v>
      </c>
      <c r="F57" s="13">
        <v>595</v>
      </c>
      <c r="G57" s="13">
        <v>18</v>
      </c>
      <c r="H57" s="13">
        <v>0</v>
      </c>
      <c r="I57" s="13">
        <v>9318</v>
      </c>
      <c r="J57" s="13">
        <v>8697.6823532080653</v>
      </c>
      <c r="K57" s="13">
        <v>202.31764679193449</v>
      </c>
      <c r="L57" s="13">
        <v>0</v>
      </c>
      <c r="M57" s="13">
        <v>0</v>
      </c>
      <c r="N57" s="13">
        <v>0</v>
      </c>
      <c r="O57" s="13">
        <v>53</v>
      </c>
      <c r="P57" s="13">
        <v>0</v>
      </c>
      <c r="Q57" s="13">
        <v>-6</v>
      </c>
      <c r="R57" s="13">
        <v>0</v>
      </c>
      <c r="S57" s="13"/>
      <c r="T57" s="13">
        <v>0</v>
      </c>
      <c r="U57" s="14">
        <v>25089</v>
      </c>
      <c r="V57" s="91"/>
    </row>
    <row r="58" spans="1:24" x14ac:dyDescent="0.25">
      <c r="A58" s="12" t="s">
        <v>80</v>
      </c>
      <c r="B58" s="108" t="s">
        <v>156</v>
      </c>
      <c r="C58" s="69"/>
      <c r="D58" s="13">
        <v>0</v>
      </c>
      <c r="E58" s="13">
        <v>1708</v>
      </c>
      <c r="F58" s="13">
        <v>0</v>
      </c>
      <c r="G58" s="13">
        <v>0</v>
      </c>
      <c r="H58" s="13">
        <v>0</v>
      </c>
      <c r="I58" s="13">
        <v>3985</v>
      </c>
      <c r="J58" s="13">
        <v>50058.902212168548</v>
      </c>
      <c r="K58" s="13">
        <v>1176.0977878314536</v>
      </c>
      <c r="L58" s="13">
        <v>0</v>
      </c>
      <c r="M58" s="13">
        <v>0</v>
      </c>
      <c r="N58" s="13">
        <v>0</v>
      </c>
      <c r="O58" s="13">
        <v>0</v>
      </c>
      <c r="P58" s="13">
        <v>0</v>
      </c>
      <c r="Q58" s="13">
        <v>0</v>
      </c>
      <c r="R58" s="13">
        <v>0</v>
      </c>
      <c r="S58" s="13"/>
      <c r="T58" s="13">
        <v>0</v>
      </c>
      <c r="U58" s="14">
        <v>56928</v>
      </c>
      <c r="V58" s="91"/>
    </row>
    <row r="59" spans="1:24" x14ac:dyDescent="0.25">
      <c r="A59" s="12" t="s">
        <v>81</v>
      </c>
      <c r="B59" s="108" t="s">
        <v>157</v>
      </c>
      <c r="C59" s="69"/>
      <c r="D59" s="13">
        <v>7354</v>
      </c>
      <c r="E59" s="13">
        <v>64853</v>
      </c>
      <c r="F59" s="13">
        <v>1708</v>
      </c>
      <c r="G59" s="13">
        <v>19</v>
      </c>
      <c r="H59" s="13">
        <v>4600</v>
      </c>
      <c r="I59" s="13">
        <v>298646</v>
      </c>
      <c r="J59" s="13">
        <v>36771.471260605511</v>
      </c>
      <c r="K59" s="13">
        <v>181.52873939448949</v>
      </c>
      <c r="L59" s="13">
        <v>0</v>
      </c>
      <c r="M59" s="13">
        <v>10281</v>
      </c>
      <c r="N59" s="13">
        <v>0</v>
      </c>
      <c r="O59" s="13">
        <v>6976</v>
      </c>
      <c r="P59" s="13">
        <v>0</v>
      </c>
      <c r="Q59" s="13">
        <v>0</v>
      </c>
      <c r="R59" s="13">
        <v>0</v>
      </c>
      <c r="S59" s="13"/>
      <c r="T59" s="13">
        <v>0</v>
      </c>
      <c r="U59" s="14">
        <v>431390</v>
      </c>
      <c r="V59" s="91"/>
      <c r="W59" s="2"/>
      <c r="X59" s="2" t="s">
        <v>1</v>
      </c>
    </row>
    <row r="60" spans="1:24" x14ac:dyDescent="0.25">
      <c r="A60" s="12" t="s">
        <v>82</v>
      </c>
      <c r="B60" s="108" t="s">
        <v>158</v>
      </c>
      <c r="C60" s="69"/>
      <c r="D60" s="13">
        <v>2275</v>
      </c>
      <c r="E60" s="13">
        <v>21065</v>
      </c>
      <c r="F60" s="13">
        <v>1181</v>
      </c>
      <c r="G60" s="13">
        <v>17</v>
      </c>
      <c r="H60" s="13">
        <v>0</v>
      </c>
      <c r="I60" s="13">
        <v>24542</v>
      </c>
      <c r="J60" s="13">
        <v>18678.252124342926</v>
      </c>
      <c r="K60" s="13">
        <v>2106.7478756570736</v>
      </c>
      <c r="L60" s="13">
        <v>1456</v>
      </c>
      <c r="M60" s="13">
        <v>711</v>
      </c>
      <c r="N60" s="13">
        <v>0</v>
      </c>
      <c r="O60" s="13">
        <v>107</v>
      </c>
      <c r="P60" s="13">
        <v>0</v>
      </c>
      <c r="Q60" s="13">
        <v>0</v>
      </c>
      <c r="R60" s="13">
        <v>0</v>
      </c>
      <c r="S60" s="13"/>
      <c r="T60" s="13">
        <v>0</v>
      </c>
      <c r="U60" s="14">
        <v>72139</v>
      </c>
      <c r="V60" s="91"/>
    </row>
    <row r="61" spans="1:24" x14ac:dyDescent="0.25">
      <c r="A61" s="15" t="s">
        <v>83</v>
      </c>
      <c r="B61" s="109" t="s">
        <v>114</v>
      </c>
      <c r="C61" s="70"/>
      <c r="D61" s="16">
        <v>1267</v>
      </c>
      <c r="E61" s="16">
        <v>15574</v>
      </c>
      <c r="F61" s="16">
        <v>-399</v>
      </c>
      <c r="G61" s="16">
        <v>3</v>
      </c>
      <c r="H61" s="16">
        <v>0</v>
      </c>
      <c r="I61" s="16">
        <v>-1285.0242347143649</v>
      </c>
      <c r="J61" s="16">
        <v>9741.9616386769758</v>
      </c>
      <c r="K61" s="16">
        <v>73.038361323023338</v>
      </c>
      <c r="L61" s="16">
        <v>0</v>
      </c>
      <c r="M61" s="16">
        <v>3143</v>
      </c>
      <c r="N61" s="16">
        <v>0</v>
      </c>
      <c r="O61" s="16">
        <v>-345.97576528563803</v>
      </c>
      <c r="P61" s="16">
        <v>0</v>
      </c>
      <c r="Q61" s="16">
        <v>0</v>
      </c>
      <c r="R61" s="16">
        <v>0</v>
      </c>
      <c r="S61" s="16"/>
      <c r="T61" s="16">
        <v>0</v>
      </c>
      <c r="U61" s="17">
        <v>27772</v>
      </c>
      <c r="V61" s="74"/>
    </row>
    <row r="62" spans="1:24" x14ac:dyDescent="0.25">
      <c r="A62" s="20" t="s">
        <v>84</v>
      </c>
      <c r="B62" s="110" t="s">
        <v>115</v>
      </c>
      <c r="C62" s="71"/>
      <c r="D62" s="21">
        <v>797</v>
      </c>
      <c r="E62" s="21">
        <v>8865</v>
      </c>
      <c r="F62" s="21">
        <v>284</v>
      </c>
      <c r="G62" s="21">
        <v>0</v>
      </c>
      <c r="H62" s="21">
        <v>0</v>
      </c>
      <c r="I62" s="21">
        <v>37312</v>
      </c>
      <c r="J62" s="21">
        <v>511</v>
      </c>
      <c r="K62" s="21">
        <v>0</v>
      </c>
      <c r="L62" s="21">
        <v>10495</v>
      </c>
      <c r="M62" s="21">
        <v>0</v>
      </c>
      <c r="N62" s="21">
        <v>0</v>
      </c>
      <c r="O62" s="21">
        <v>4483</v>
      </c>
      <c r="P62" s="21">
        <v>0</v>
      </c>
      <c r="Q62" s="21">
        <v>0</v>
      </c>
      <c r="R62" s="21">
        <v>0</v>
      </c>
      <c r="S62" s="21"/>
      <c r="T62" s="21">
        <v>0</v>
      </c>
      <c r="U62" s="22">
        <v>62747</v>
      </c>
      <c r="V62" s="91"/>
    </row>
    <row r="63" spans="1:24" x14ac:dyDescent="0.25">
      <c r="A63" s="12" t="s">
        <v>85</v>
      </c>
      <c r="B63" s="108" t="s">
        <v>159</v>
      </c>
      <c r="C63" s="69"/>
      <c r="D63" s="13">
        <v>3628</v>
      </c>
      <c r="E63" s="13">
        <v>35147</v>
      </c>
      <c r="F63" s="13">
        <v>3540</v>
      </c>
      <c r="G63" s="13">
        <v>0</v>
      </c>
      <c r="H63" s="13">
        <v>0</v>
      </c>
      <c r="I63" s="13">
        <v>17940.754577883923</v>
      </c>
      <c r="J63" s="13">
        <v>715.90184414039254</v>
      </c>
      <c r="K63" s="13">
        <v>66.098155859607431</v>
      </c>
      <c r="L63" s="13">
        <v>3721</v>
      </c>
      <c r="M63" s="13">
        <v>0</v>
      </c>
      <c r="N63" s="13">
        <v>0</v>
      </c>
      <c r="O63" s="13">
        <v>-1015.7545778839225</v>
      </c>
      <c r="P63" s="13">
        <v>0</v>
      </c>
      <c r="Q63" s="13">
        <v>0</v>
      </c>
      <c r="R63" s="13">
        <v>0</v>
      </c>
      <c r="S63" s="13"/>
      <c r="T63" s="13">
        <v>0</v>
      </c>
      <c r="U63" s="14">
        <v>63743</v>
      </c>
      <c r="V63" s="91"/>
    </row>
    <row r="64" spans="1:24" x14ac:dyDescent="0.25">
      <c r="A64" s="15" t="s">
        <v>86</v>
      </c>
      <c r="B64" s="109" t="s">
        <v>160</v>
      </c>
      <c r="C64" s="70"/>
      <c r="D64" s="16">
        <v>3631</v>
      </c>
      <c r="E64" s="16">
        <v>33375</v>
      </c>
      <c r="F64" s="16">
        <v>2039</v>
      </c>
      <c r="G64" s="16">
        <v>2614</v>
      </c>
      <c r="H64" s="16">
        <v>0</v>
      </c>
      <c r="I64" s="16">
        <v>20800.404047160839</v>
      </c>
      <c r="J64" s="16">
        <v>7592</v>
      </c>
      <c r="K64" s="16">
        <v>609.00000000000023</v>
      </c>
      <c r="L64" s="16">
        <v>25751</v>
      </c>
      <c r="M64" s="16">
        <v>12999</v>
      </c>
      <c r="N64" s="16">
        <v>0</v>
      </c>
      <c r="O64" s="16">
        <v>-4982.4040471608369</v>
      </c>
      <c r="P64" s="16">
        <v>0</v>
      </c>
      <c r="Q64" s="16">
        <v>0</v>
      </c>
      <c r="R64" s="16">
        <v>0</v>
      </c>
      <c r="S64" s="16"/>
      <c r="T64" s="16">
        <v>0</v>
      </c>
      <c r="U64" s="17">
        <v>104428</v>
      </c>
      <c r="V64" s="74"/>
    </row>
    <row r="65" spans="1:37" x14ac:dyDescent="0.25">
      <c r="A65" s="20" t="s">
        <v>87</v>
      </c>
      <c r="B65" s="110" t="s">
        <v>116</v>
      </c>
      <c r="C65" s="71"/>
      <c r="D65" s="21">
        <v>0</v>
      </c>
      <c r="E65" s="21">
        <v>0</v>
      </c>
      <c r="F65" s="21">
        <v>0</v>
      </c>
      <c r="G65" s="21">
        <v>0</v>
      </c>
      <c r="H65" s="21">
        <v>0</v>
      </c>
      <c r="I65" s="21">
        <v>0</v>
      </c>
      <c r="J65" s="21">
        <v>0</v>
      </c>
      <c r="K65" s="21">
        <v>0</v>
      </c>
      <c r="L65" s="21">
        <v>0</v>
      </c>
      <c r="M65" s="21">
        <v>0</v>
      </c>
      <c r="N65" s="21">
        <v>0</v>
      </c>
      <c r="O65" s="21">
        <v>1423</v>
      </c>
      <c r="P65" s="21">
        <v>0</v>
      </c>
      <c r="Q65" s="21">
        <v>0</v>
      </c>
      <c r="R65" s="21">
        <v>0</v>
      </c>
      <c r="S65" s="21"/>
      <c r="T65" s="21">
        <v>391586</v>
      </c>
      <c r="U65" s="22">
        <v>393009</v>
      </c>
      <c r="V65" s="91"/>
    </row>
    <row r="66" spans="1:37" x14ac:dyDescent="0.25">
      <c r="A66" s="12" t="s">
        <v>88</v>
      </c>
      <c r="B66" s="108" t="s">
        <v>161</v>
      </c>
      <c r="C66" s="69"/>
      <c r="D66" s="13">
        <v>28</v>
      </c>
      <c r="E66" s="13">
        <v>333</v>
      </c>
      <c r="F66" s="13">
        <v>0</v>
      </c>
      <c r="G66" s="13">
        <v>0</v>
      </c>
      <c r="H66" s="13">
        <v>0</v>
      </c>
      <c r="I66" s="13">
        <v>0</v>
      </c>
      <c r="J66" s="13">
        <v>0</v>
      </c>
      <c r="K66" s="13">
        <v>0</v>
      </c>
      <c r="L66" s="13">
        <v>126664</v>
      </c>
      <c r="M66" s="13">
        <v>0</v>
      </c>
      <c r="N66" s="13">
        <v>0</v>
      </c>
      <c r="O66" s="13">
        <v>0</v>
      </c>
      <c r="P66" s="13">
        <v>0</v>
      </c>
      <c r="Q66" s="13">
        <v>0</v>
      </c>
      <c r="R66" s="13">
        <v>0</v>
      </c>
      <c r="S66" s="13"/>
      <c r="T66" s="13">
        <v>0</v>
      </c>
      <c r="U66" s="14">
        <v>127025</v>
      </c>
      <c r="V66" s="91"/>
      <c r="W66" s="26"/>
      <c r="X66" s="26"/>
      <c r="Y66" s="26"/>
      <c r="Z66" s="26"/>
      <c r="AA66" s="26"/>
      <c r="AB66" s="26"/>
      <c r="AC66" s="26"/>
      <c r="AD66" s="26"/>
      <c r="AE66" s="26"/>
      <c r="AF66" s="26"/>
      <c r="AG66" s="26"/>
      <c r="AH66" s="26"/>
      <c r="AI66" s="26"/>
      <c r="AJ66" s="26"/>
      <c r="AK66" s="26"/>
    </row>
    <row r="67" spans="1:37" x14ac:dyDescent="0.25">
      <c r="A67" s="12" t="s">
        <v>89</v>
      </c>
      <c r="B67" s="108" t="s">
        <v>117</v>
      </c>
      <c r="C67" s="69"/>
      <c r="D67" s="13">
        <v>0</v>
      </c>
      <c r="E67" s="13">
        <v>0</v>
      </c>
      <c r="F67" s="13">
        <v>0</v>
      </c>
      <c r="G67" s="13">
        <v>0</v>
      </c>
      <c r="H67" s="13">
        <v>0</v>
      </c>
      <c r="I67" s="13">
        <v>40</v>
      </c>
      <c r="J67" s="13">
        <v>0</v>
      </c>
      <c r="K67" s="13">
        <v>0</v>
      </c>
      <c r="L67" s="13">
        <v>6238</v>
      </c>
      <c r="M67" s="13">
        <v>0</v>
      </c>
      <c r="N67" s="13">
        <v>0</v>
      </c>
      <c r="O67" s="13">
        <v>0</v>
      </c>
      <c r="P67" s="13">
        <v>0</v>
      </c>
      <c r="Q67" s="13">
        <v>0</v>
      </c>
      <c r="R67" s="13">
        <v>0</v>
      </c>
      <c r="S67" s="13"/>
      <c r="T67" s="13">
        <v>0</v>
      </c>
      <c r="U67" s="14">
        <v>6278</v>
      </c>
      <c r="V67" s="91"/>
      <c r="W67" s="26"/>
      <c r="X67" s="26"/>
      <c r="Y67" s="26"/>
      <c r="Z67" s="26"/>
      <c r="AA67" s="26"/>
      <c r="AB67" s="26"/>
      <c r="AC67" s="26"/>
      <c r="AD67" s="26"/>
      <c r="AE67" s="26"/>
      <c r="AF67" s="26"/>
      <c r="AG67" s="26"/>
      <c r="AH67" s="26"/>
      <c r="AI67" s="26"/>
      <c r="AJ67" s="26"/>
      <c r="AK67" s="26"/>
    </row>
    <row r="68" spans="1:37" x14ac:dyDescent="0.25">
      <c r="A68" s="15" t="s">
        <v>90</v>
      </c>
      <c r="B68" s="106" t="s">
        <v>119</v>
      </c>
      <c r="C68" s="16">
        <v>320000</v>
      </c>
      <c r="D68" s="16">
        <v>0</v>
      </c>
      <c r="E68" s="16">
        <v>-3119</v>
      </c>
      <c r="F68" s="16">
        <v>3045</v>
      </c>
      <c r="G68" s="16">
        <v>81</v>
      </c>
      <c r="H68" s="16">
        <v>0</v>
      </c>
      <c r="I68" s="16">
        <v>30277</v>
      </c>
      <c r="J68" s="16">
        <v>1</v>
      </c>
      <c r="K68" s="16">
        <v>0</v>
      </c>
      <c r="L68" s="16">
        <v>0</v>
      </c>
      <c r="M68" s="16">
        <v>-7414</v>
      </c>
      <c r="N68" s="16">
        <v>0</v>
      </c>
      <c r="O68" s="16">
        <v>-19393</v>
      </c>
      <c r="P68" s="16">
        <v>0</v>
      </c>
      <c r="Q68" s="16">
        <v>0</v>
      </c>
      <c r="R68" s="16">
        <v>0</v>
      </c>
      <c r="S68" s="16"/>
      <c r="T68" s="16">
        <v>0</v>
      </c>
      <c r="U68" s="17">
        <v>323478</v>
      </c>
      <c r="V68" s="74"/>
    </row>
    <row r="69" spans="1:37" x14ac:dyDescent="0.25">
      <c r="A69" s="75" t="s">
        <v>91</v>
      </c>
      <c r="B69" s="106" t="s">
        <v>118</v>
      </c>
      <c r="C69" s="67"/>
      <c r="D69" s="6">
        <v>0</v>
      </c>
      <c r="E69" s="6">
        <v>0</v>
      </c>
      <c r="F69" s="6">
        <v>0</v>
      </c>
      <c r="G69" s="6">
        <v>0</v>
      </c>
      <c r="H69" s="6">
        <v>0</v>
      </c>
      <c r="I69" s="6">
        <v>0</v>
      </c>
      <c r="J69" s="6">
        <v>0</v>
      </c>
      <c r="K69" s="6">
        <v>0</v>
      </c>
      <c r="L69" s="6">
        <v>0</v>
      </c>
      <c r="M69" s="6">
        <v>0</v>
      </c>
      <c r="N69" s="6">
        <v>0</v>
      </c>
      <c r="O69" s="6">
        <v>0</v>
      </c>
      <c r="P69" s="6">
        <v>0</v>
      </c>
      <c r="Q69" s="6">
        <v>0</v>
      </c>
      <c r="R69" s="6">
        <v>0</v>
      </c>
      <c r="S69" s="6">
        <v>313800</v>
      </c>
      <c r="T69" s="6"/>
      <c r="U69" s="7">
        <v>313800</v>
      </c>
      <c r="V69" s="74"/>
    </row>
    <row r="70" spans="1:37" ht="13" thickBot="1" x14ac:dyDescent="0.3">
      <c r="A70" s="76" t="s">
        <v>92</v>
      </c>
      <c r="B70" s="107"/>
      <c r="C70" s="77">
        <f>SUM(C5:C69)</f>
        <v>321219</v>
      </c>
      <c r="D70" s="77">
        <f t="shared" ref="D70:U70" si="1">SUM(D5:D69)</f>
        <v>675116.00000000023</v>
      </c>
      <c r="E70" s="77">
        <f t="shared" si="1"/>
        <v>6714505.9339760011</v>
      </c>
      <c r="F70" s="77">
        <f t="shared" si="1"/>
        <v>390067.99999999994</v>
      </c>
      <c r="G70" s="77">
        <f t="shared" si="1"/>
        <v>26312</v>
      </c>
      <c r="H70" s="77">
        <f t="shared" si="1"/>
        <v>181214.22839999999</v>
      </c>
      <c r="I70" s="77">
        <f t="shared" si="1"/>
        <v>3784478.8635689141</v>
      </c>
      <c r="J70" s="77">
        <f t="shared" si="1"/>
        <v>724509.12</v>
      </c>
      <c r="K70" s="77">
        <f t="shared" si="1"/>
        <v>37928.27070153044</v>
      </c>
      <c r="L70" s="77">
        <f t="shared" si="1"/>
        <v>1789725</v>
      </c>
      <c r="M70" s="77">
        <f t="shared" si="1"/>
        <v>601842</v>
      </c>
      <c r="N70" s="77">
        <f t="shared" si="1"/>
        <v>88538.185200000007</v>
      </c>
      <c r="O70" s="77">
        <f t="shared" si="1"/>
        <v>51509.459999999977</v>
      </c>
      <c r="P70" s="77">
        <f t="shared" si="1"/>
        <v>126109</v>
      </c>
      <c r="Q70" s="77">
        <f t="shared" si="1"/>
        <v>30919.999999999996</v>
      </c>
      <c r="R70" s="77">
        <f t="shared" si="1"/>
        <v>37601</v>
      </c>
      <c r="S70" s="77">
        <f t="shared" si="1"/>
        <v>313800</v>
      </c>
      <c r="T70" s="77">
        <f t="shared" si="1"/>
        <v>386278</v>
      </c>
      <c r="U70" s="78">
        <f t="shared" si="1"/>
        <v>16281673.671144916</v>
      </c>
    </row>
    <row r="71" spans="1:37" x14ac:dyDescent="0.25">
      <c r="A71" s="26"/>
      <c r="B71" s="111"/>
      <c r="C71" s="79"/>
      <c r="D71" s="80"/>
      <c r="F71" s="62"/>
      <c r="N71" s="3"/>
    </row>
    <row r="72" spans="1:37" ht="13" x14ac:dyDescent="0.25">
      <c r="A72" s="26"/>
      <c r="B72" s="112"/>
      <c r="C72" s="81"/>
      <c r="D72" s="47"/>
      <c r="E72" s="82"/>
      <c r="F72" s="49"/>
      <c r="G72" s="49"/>
      <c r="H72" s="47"/>
      <c r="I72" s="49"/>
      <c r="J72" s="47"/>
      <c r="K72" s="49"/>
      <c r="L72" s="49"/>
      <c r="M72" s="49"/>
      <c r="N72" s="47"/>
      <c r="O72" s="49"/>
      <c r="P72" s="49"/>
      <c r="Q72" s="47"/>
      <c r="R72" s="47"/>
      <c r="S72" s="47"/>
      <c r="U72" s="94"/>
      <c r="V72" s="1"/>
    </row>
    <row r="73" spans="1:37" x14ac:dyDescent="0.25">
      <c r="A73" s="26"/>
      <c r="B73" s="112"/>
      <c r="C73" s="80"/>
      <c r="D73" s="1"/>
      <c r="F73" s="19"/>
      <c r="G73" s="19"/>
      <c r="I73" s="3"/>
      <c r="J73" s="19"/>
      <c r="U73" s="98"/>
      <c r="V73" s="1"/>
    </row>
    <row r="74" spans="1:37" x14ac:dyDescent="0.25">
      <c r="B74" s="104"/>
      <c r="C74" s="19"/>
      <c r="D74" s="1"/>
      <c r="E74" s="1"/>
      <c r="I74" s="3"/>
      <c r="Q74" s="26"/>
      <c r="U74" s="98"/>
      <c r="V74" s="1"/>
    </row>
    <row r="75" spans="1:37" x14ac:dyDescent="0.25">
      <c r="B75" s="104"/>
      <c r="C75" s="19"/>
      <c r="E75" s="1"/>
      <c r="U75" s="94"/>
      <c r="V75" s="1"/>
    </row>
    <row r="76" spans="1:37" x14ac:dyDescent="0.25">
      <c r="B76" s="113"/>
      <c r="C76" s="84"/>
      <c r="F76" s="19"/>
      <c r="U76" s="94"/>
      <c r="V76" s="1"/>
    </row>
    <row r="77" spans="1:37" x14ac:dyDescent="0.25">
      <c r="B77" s="114"/>
      <c r="C77" s="83"/>
      <c r="D77" s="84"/>
      <c r="F77" s="19"/>
      <c r="G77" s="19"/>
    </row>
    <row r="78" spans="1:37" x14ac:dyDescent="0.25">
      <c r="B78" s="114"/>
      <c r="C78" s="83"/>
      <c r="D78" s="84"/>
      <c r="F78" s="19"/>
      <c r="G78" s="19"/>
    </row>
    <row r="79" spans="1:37" x14ac:dyDescent="0.25">
      <c r="B79" s="114"/>
      <c r="C79" s="83"/>
      <c r="D79" s="85"/>
      <c r="F79" s="19"/>
      <c r="G79" s="19"/>
    </row>
    <row r="80" spans="1:37" x14ac:dyDescent="0.25">
      <c r="B80" s="114"/>
      <c r="C80" s="83"/>
      <c r="D80" s="86"/>
      <c r="F80" s="19"/>
      <c r="G80" s="19"/>
    </row>
    <row r="81" spans="2:7" x14ac:dyDescent="0.25">
      <c r="B81" s="114"/>
      <c r="C81" s="83"/>
      <c r="D81" s="87"/>
      <c r="F81" s="19"/>
      <c r="G81" s="19"/>
    </row>
    <row r="82" spans="2:7" x14ac:dyDescent="0.25">
      <c r="B82" s="114"/>
      <c r="C82" s="83"/>
      <c r="D82" s="87"/>
      <c r="F82" s="19"/>
      <c r="G82" s="19"/>
    </row>
    <row r="83" spans="2:7" x14ac:dyDescent="0.25">
      <c r="B83" s="114"/>
      <c r="C83" s="83"/>
      <c r="D83" s="58"/>
      <c r="F83" s="19"/>
      <c r="G83" s="19"/>
    </row>
    <row r="84" spans="2:7" x14ac:dyDescent="0.25">
      <c r="B84" s="114"/>
      <c r="C84" s="83"/>
      <c r="D84" s="84"/>
      <c r="F84" s="19"/>
      <c r="G84" s="19"/>
    </row>
    <row r="85" spans="2:7" x14ac:dyDescent="0.25">
      <c r="B85" s="114"/>
      <c r="C85" s="83"/>
      <c r="D85" s="84"/>
      <c r="F85" s="19"/>
      <c r="G85" s="19"/>
    </row>
    <row r="86" spans="2:7" x14ac:dyDescent="0.25">
      <c r="B86" s="114"/>
      <c r="C86" s="59"/>
      <c r="D86" s="84"/>
      <c r="F86" s="19"/>
      <c r="G86" s="19"/>
    </row>
    <row r="87" spans="2:7" ht="13" x14ac:dyDescent="0.25">
      <c r="B87" s="114"/>
      <c r="F87" s="19"/>
      <c r="G87" s="47"/>
    </row>
    <row r="88" spans="2:7" x14ac:dyDescent="0.25">
      <c r="B88" s="114"/>
    </row>
    <row r="89" spans="2:7" x14ac:dyDescent="0.25">
      <c r="B89" s="114"/>
    </row>
    <row r="90" spans="2:7" x14ac:dyDescent="0.25">
      <c r="B90" s="114"/>
    </row>
    <row r="91" spans="2:7" x14ac:dyDescent="0.25">
      <c r="B91" s="114"/>
    </row>
    <row r="92" spans="2:7" x14ac:dyDescent="0.25">
      <c r="B92" s="114"/>
    </row>
    <row r="93" spans="2:7" x14ac:dyDescent="0.25">
      <c r="B93" s="114"/>
    </row>
    <row r="94" spans="2:7" x14ac:dyDescent="0.25">
      <c r="B94" s="114"/>
    </row>
    <row r="95" spans="2:7" x14ac:dyDescent="0.25">
      <c r="B95" s="114"/>
    </row>
    <row r="96" spans="2:7" x14ac:dyDescent="0.25">
      <c r="B96" s="114"/>
    </row>
    <row r="97" spans="2:2" x14ac:dyDescent="0.25">
      <c r="B97" s="114"/>
    </row>
    <row r="98" spans="2:2" x14ac:dyDescent="0.25">
      <c r="B98" s="114"/>
    </row>
    <row r="99" spans="2:2" x14ac:dyDescent="0.25">
      <c r="B99" s="114"/>
    </row>
    <row r="100" spans="2:2" x14ac:dyDescent="0.25">
      <c r="B100" s="114"/>
    </row>
    <row r="101" spans="2:2" x14ac:dyDescent="0.25">
      <c r="B101" s="114"/>
    </row>
    <row r="102" spans="2:2" x14ac:dyDescent="0.25">
      <c r="B102" s="114"/>
    </row>
    <row r="103" spans="2:2" x14ac:dyDescent="0.25">
      <c r="B103" s="114"/>
    </row>
    <row r="104" spans="2:2" x14ac:dyDescent="0.25">
      <c r="B104" s="114"/>
    </row>
    <row r="105" spans="2:2" x14ac:dyDescent="0.25">
      <c r="B105" s="114"/>
    </row>
    <row r="106" spans="2:2" x14ac:dyDescent="0.25">
      <c r="B106" s="114"/>
    </row>
    <row r="107" spans="2:2" x14ac:dyDescent="0.25">
      <c r="B107" s="114"/>
    </row>
    <row r="108" spans="2:2" x14ac:dyDescent="0.25">
      <c r="B108" s="114"/>
    </row>
    <row r="109" spans="2:2" x14ac:dyDescent="0.25">
      <c r="B109" s="114"/>
    </row>
  </sheetData>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BAE8-72B1-48EF-9892-2FB28C5AC81D}">
  <dimension ref="A1:N277"/>
  <sheetViews>
    <sheetView zoomScale="50" zoomScaleNormal="50" workbookViewId="0">
      <selection activeCell="I3" sqref="I3"/>
    </sheetView>
  </sheetViews>
  <sheetFormatPr defaultRowHeight="12.5" x14ac:dyDescent="0.25"/>
  <cols>
    <col min="2" max="2" width="37.54296875" bestFit="1" customWidth="1"/>
    <col min="3" max="3" width="11.81640625" bestFit="1" customWidth="1"/>
    <col min="5" max="5" width="51.54296875" customWidth="1"/>
    <col min="6" max="6" width="24.453125" customWidth="1"/>
    <col min="8" max="8" width="24.453125" bestFit="1" customWidth="1"/>
    <col min="9" max="9" width="45.90625" bestFit="1" customWidth="1"/>
    <col min="10" max="10" width="20.08984375" bestFit="1" customWidth="1"/>
    <col min="11" max="11" width="23.7265625" bestFit="1" customWidth="1"/>
    <col min="12" max="12" width="14.26953125" bestFit="1" customWidth="1"/>
    <col min="13" max="13" width="17.54296875" customWidth="1"/>
    <col min="14" max="14" width="12.453125" bestFit="1" customWidth="1"/>
    <col min="15" max="15" width="15.26953125" bestFit="1" customWidth="1"/>
    <col min="16" max="16" width="30.81640625" bestFit="1" customWidth="1"/>
    <col min="17" max="17" width="12" bestFit="1" customWidth="1"/>
    <col min="18" max="18" width="27" bestFit="1" customWidth="1"/>
    <col min="19" max="19" width="14.81640625" bestFit="1" customWidth="1"/>
    <col min="20" max="20" width="29.6328125" bestFit="1" customWidth="1"/>
    <col min="21" max="21" width="21.453125" bestFit="1" customWidth="1"/>
    <col min="22" max="22" width="26.1796875" bestFit="1" customWidth="1"/>
    <col min="23" max="23" width="27.54296875" bestFit="1" customWidth="1"/>
    <col min="24" max="24" width="20.08984375" bestFit="1" customWidth="1"/>
    <col min="25" max="25" width="42.6328125" bestFit="1" customWidth="1"/>
    <col min="26" max="26" width="24.6328125" bestFit="1" customWidth="1"/>
    <col min="27" max="27" width="14.453125" bestFit="1" customWidth="1"/>
    <col min="28" max="28" width="11.81640625" bestFit="1" customWidth="1"/>
    <col min="29" max="29" width="26.7265625" bestFit="1" customWidth="1"/>
    <col min="30" max="30" width="23" bestFit="1" customWidth="1"/>
    <col min="31" max="31" width="41.08984375" bestFit="1" customWidth="1"/>
    <col min="32" max="32" width="24.7265625" bestFit="1" customWidth="1"/>
    <col min="33" max="33" width="23.6328125" bestFit="1" customWidth="1"/>
    <col min="34" max="34" width="19.453125" bestFit="1" customWidth="1"/>
    <col min="35" max="35" width="37.08984375" bestFit="1" customWidth="1"/>
    <col min="36" max="36" width="31.81640625" bestFit="1" customWidth="1"/>
    <col min="37" max="37" width="42.36328125" bestFit="1" customWidth="1"/>
    <col min="38" max="38" width="25.1796875" bestFit="1" customWidth="1"/>
    <col min="39" max="39" width="25" bestFit="1" customWidth="1"/>
    <col min="40" max="40" width="27.6328125" bestFit="1" customWidth="1"/>
    <col min="41" max="41" width="29.7265625" bestFit="1" customWidth="1"/>
    <col min="42" max="42" width="26.1796875" bestFit="1" customWidth="1"/>
    <col min="43" max="43" width="34.08984375" bestFit="1" customWidth="1"/>
    <col min="44" max="44" width="14.7265625" bestFit="1" customWidth="1"/>
    <col min="45" max="45" width="12.1796875" bestFit="1" customWidth="1"/>
    <col min="46" max="46" width="26.453125" bestFit="1" customWidth="1"/>
    <col min="47" max="47" width="32.90625" bestFit="1" customWidth="1"/>
    <col min="48" max="48" width="26.54296875" bestFit="1" customWidth="1"/>
    <col min="49" max="49" width="19.81640625" bestFit="1" customWidth="1"/>
    <col min="50" max="50" width="50.81640625" bestFit="1" customWidth="1"/>
    <col min="51" max="51" width="19.7265625" bestFit="1" customWidth="1"/>
    <col min="52" max="52" width="17.453125" bestFit="1" customWidth="1"/>
    <col min="53" max="53" width="15.453125" bestFit="1" customWidth="1"/>
    <col min="54" max="54" width="40.81640625" bestFit="1" customWidth="1"/>
    <col min="55" max="55" width="13.81640625" bestFit="1" customWidth="1"/>
    <col min="56" max="56" width="51.54296875" bestFit="1" customWidth="1"/>
    <col min="57" max="57" width="35.54296875" bestFit="1" customWidth="1"/>
    <col min="58" max="58" width="16.54296875" bestFit="1" customWidth="1"/>
    <col min="59" max="59" width="28.36328125" bestFit="1" customWidth="1"/>
    <col min="60" max="60" width="22" bestFit="1" customWidth="1"/>
    <col min="61" max="61" width="19.81640625" bestFit="1" customWidth="1"/>
    <col min="62" max="62" width="26" bestFit="1" customWidth="1"/>
    <col min="63" max="63" width="35" bestFit="1" customWidth="1"/>
    <col min="64" max="64" width="16.81640625" bestFit="1" customWidth="1"/>
    <col min="65" max="65" width="19.26953125" bestFit="1" customWidth="1"/>
    <col min="66" max="66" width="19.1796875" bestFit="1" customWidth="1"/>
    <col min="67" max="67" width="13.54296875" bestFit="1" customWidth="1"/>
    <col min="68" max="68" width="37.54296875" bestFit="1" customWidth="1"/>
    <col min="69" max="69" width="16.08984375" bestFit="1" customWidth="1"/>
    <col min="70" max="70" width="28.6328125" bestFit="1" customWidth="1"/>
    <col min="71" max="71" width="22.08984375" bestFit="1" customWidth="1"/>
    <col min="72" max="72" width="25.6328125" bestFit="1" customWidth="1"/>
    <col min="73" max="73" width="29.54296875" bestFit="1" customWidth="1"/>
    <col min="74" max="74" width="18.6328125" bestFit="1" customWidth="1"/>
    <col min="75" max="75" width="25.81640625" bestFit="1" customWidth="1"/>
    <col min="76" max="76" width="38.81640625" bestFit="1" customWidth="1"/>
    <col min="77" max="77" width="26.453125" bestFit="1" customWidth="1"/>
    <col min="78" max="78" width="20.54296875" bestFit="1" customWidth="1"/>
    <col min="79" max="80" width="11.81640625" bestFit="1" customWidth="1"/>
  </cols>
  <sheetData>
    <row r="1" spans="1:9" x14ac:dyDescent="0.25">
      <c r="A1" s="127" t="s">
        <v>183</v>
      </c>
      <c r="B1" s="45" t="s">
        <v>182</v>
      </c>
      <c r="C1" s="53" t="s">
        <v>188</v>
      </c>
    </row>
    <row r="2" spans="1:9" x14ac:dyDescent="0.25">
      <c r="A2" s="128" t="s">
        <v>184</v>
      </c>
      <c r="B2" s="106" t="s">
        <v>93</v>
      </c>
      <c r="C2" s="129">
        <v>318326</v>
      </c>
    </row>
    <row r="3" spans="1:9" x14ac:dyDescent="0.25">
      <c r="A3" s="128" t="s">
        <v>184</v>
      </c>
      <c r="B3" s="107" t="s">
        <v>120</v>
      </c>
      <c r="C3" s="129">
        <v>739008</v>
      </c>
    </row>
    <row r="4" spans="1:9" x14ac:dyDescent="0.25">
      <c r="A4" s="128" t="s">
        <v>184</v>
      </c>
      <c r="B4" s="108" t="s">
        <v>121</v>
      </c>
      <c r="C4" s="129">
        <v>183523</v>
      </c>
    </row>
    <row r="5" spans="1:9" x14ac:dyDescent="0.25">
      <c r="A5" s="128" t="s">
        <v>184</v>
      </c>
      <c r="B5" s="108" t="s">
        <v>94</v>
      </c>
      <c r="C5" s="129">
        <v>276008.99999999994</v>
      </c>
    </row>
    <row r="6" spans="1:9" x14ac:dyDescent="0.25">
      <c r="A6" s="128" t="s">
        <v>184</v>
      </c>
      <c r="B6" s="108" t="s">
        <v>95</v>
      </c>
      <c r="C6" s="129">
        <v>257684</v>
      </c>
    </row>
    <row r="7" spans="1:9" x14ac:dyDescent="0.25">
      <c r="A7" s="128" t="s">
        <v>184</v>
      </c>
      <c r="B7" s="109" t="s">
        <v>96</v>
      </c>
      <c r="C7" s="129">
        <v>67240</v>
      </c>
    </row>
    <row r="8" spans="1:9" x14ac:dyDescent="0.25">
      <c r="A8" s="128" t="s">
        <v>184</v>
      </c>
      <c r="B8" s="110" t="s">
        <v>122</v>
      </c>
      <c r="C8" s="129">
        <v>1339131.2960000001</v>
      </c>
    </row>
    <row r="9" spans="1:9" x14ac:dyDescent="0.25">
      <c r="A9" s="128" t="s">
        <v>184</v>
      </c>
      <c r="B9" s="108" t="s">
        <v>123</v>
      </c>
      <c r="C9" s="129">
        <v>1080625.2007999998</v>
      </c>
    </row>
    <row r="10" spans="1:9" x14ac:dyDescent="0.25">
      <c r="A10" s="128" t="s">
        <v>184</v>
      </c>
      <c r="B10" s="108" t="s">
        <v>124</v>
      </c>
      <c r="C10" s="129">
        <v>861399</v>
      </c>
    </row>
    <row r="11" spans="1:9" x14ac:dyDescent="0.25">
      <c r="A11" s="128" t="s">
        <v>184</v>
      </c>
      <c r="B11" s="108" t="s">
        <v>125</v>
      </c>
      <c r="C11" s="129">
        <v>7952</v>
      </c>
    </row>
    <row r="12" spans="1:9" x14ac:dyDescent="0.25">
      <c r="A12" s="128" t="s">
        <v>184</v>
      </c>
      <c r="B12" s="108" t="s">
        <v>126</v>
      </c>
      <c r="C12" s="129">
        <v>506980</v>
      </c>
      <c r="E12" s="130" t="s">
        <v>189</v>
      </c>
      <c r="F12" t="s">
        <v>191</v>
      </c>
      <c r="H12" s="130" t="s">
        <v>189</v>
      </c>
      <c r="I12" t="s">
        <v>191</v>
      </c>
    </row>
    <row r="13" spans="1:9" x14ac:dyDescent="0.25">
      <c r="A13" s="128" t="s">
        <v>184</v>
      </c>
      <c r="B13" s="108" t="s">
        <v>127</v>
      </c>
      <c r="C13" s="129">
        <v>47912</v>
      </c>
      <c r="E13" s="85" t="s">
        <v>131</v>
      </c>
      <c r="F13" s="131">
        <v>16864338.952515319</v>
      </c>
      <c r="H13" s="85" t="s">
        <v>184</v>
      </c>
      <c r="I13" s="131">
        <v>16281673.671144916</v>
      </c>
    </row>
    <row r="14" spans="1:9" x14ac:dyDescent="0.25">
      <c r="A14" s="128" t="s">
        <v>184</v>
      </c>
      <c r="B14" s="108" t="s">
        <v>97</v>
      </c>
      <c r="C14" s="129">
        <v>188910.91680000001</v>
      </c>
      <c r="E14" s="85" t="s">
        <v>122</v>
      </c>
      <c r="F14" s="131">
        <v>5938386.49585969</v>
      </c>
      <c r="H14" s="85" t="s">
        <v>185</v>
      </c>
      <c r="I14" s="131">
        <v>16414792</v>
      </c>
    </row>
    <row r="15" spans="1:9" x14ac:dyDescent="0.25">
      <c r="A15" s="128" t="s">
        <v>184</v>
      </c>
      <c r="B15" s="108" t="s">
        <v>128</v>
      </c>
      <c r="C15" s="129">
        <v>5892</v>
      </c>
      <c r="E15" s="85" t="s">
        <v>123</v>
      </c>
      <c r="F15" s="131">
        <v>4167231.6468705684</v>
      </c>
      <c r="H15" s="85" t="s">
        <v>186</v>
      </c>
      <c r="I15" s="131">
        <v>16738007.800000008</v>
      </c>
    </row>
    <row r="16" spans="1:9" x14ac:dyDescent="0.25">
      <c r="A16" s="128" t="s">
        <v>184</v>
      </c>
      <c r="B16" s="108" t="s">
        <v>129</v>
      </c>
      <c r="C16" s="129">
        <v>27818</v>
      </c>
      <c r="E16" s="85" t="s">
        <v>124</v>
      </c>
      <c r="F16" s="131">
        <v>3646394</v>
      </c>
      <c r="H16" s="85" t="s">
        <v>187</v>
      </c>
      <c r="I16" s="131">
        <v>17062490.056447379</v>
      </c>
    </row>
    <row r="17" spans="1:14" x14ac:dyDescent="0.25">
      <c r="A17" s="128" t="s">
        <v>184</v>
      </c>
      <c r="B17" s="108" t="s">
        <v>130</v>
      </c>
      <c r="C17" s="129">
        <v>25214</v>
      </c>
      <c r="E17" s="85" t="s">
        <v>120</v>
      </c>
      <c r="F17" s="131">
        <v>3070015</v>
      </c>
      <c r="H17" s="85" t="s">
        <v>190</v>
      </c>
      <c r="I17" s="131">
        <v>66496963.527592309</v>
      </c>
    </row>
    <row r="18" spans="1:14" x14ac:dyDescent="0.25">
      <c r="A18" s="128" t="s">
        <v>184</v>
      </c>
      <c r="B18" s="109" t="s">
        <v>98</v>
      </c>
      <c r="C18" s="129">
        <v>2709</v>
      </c>
      <c r="E18" s="85" t="s">
        <v>139</v>
      </c>
      <c r="F18" s="131">
        <v>2299601.7097815154</v>
      </c>
    </row>
    <row r="19" spans="1:14" x14ac:dyDescent="0.25">
      <c r="A19" s="128" t="s">
        <v>184</v>
      </c>
      <c r="B19" s="110" t="s">
        <v>131</v>
      </c>
      <c r="C19" s="129">
        <v>4396326.9180734595</v>
      </c>
      <c r="E19" s="85" t="s">
        <v>126</v>
      </c>
      <c r="F19" s="131">
        <v>2006100</v>
      </c>
      <c r="H19" s="130" t="s">
        <v>191</v>
      </c>
      <c r="I19" s="130" t="s">
        <v>192</v>
      </c>
    </row>
    <row r="20" spans="1:14" x14ac:dyDescent="0.25">
      <c r="A20" s="128" t="s">
        <v>184</v>
      </c>
      <c r="B20" s="108" t="s">
        <v>134</v>
      </c>
      <c r="C20" s="129">
        <v>18706.320430201635</v>
      </c>
      <c r="E20" s="85" t="s">
        <v>157</v>
      </c>
      <c r="F20" s="131">
        <v>1808982.6765296252</v>
      </c>
      <c r="H20" s="130" t="s">
        <v>189</v>
      </c>
      <c r="I20" t="s">
        <v>131</v>
      </c>
      <c r="J20" t="s">
        <v>122</v>
      </c>
      <c r="K20" t="s">
        <v>123</v>
      </c>
      <c r="L20" t="s">
        <v>190</v>
      </c>
    </row>
    <row r="21" spans="1:14" x14ac:dyDescent="0.25">
      <c r="A21" s="128" t="s">
        <v>184</v>
      </c>
      <c r="B21" s="108" t="s">
        <v>135</v>
      </c>
      <c r="C21" s="129">
        <v>194862.11269363374</v>
      </c>
      <c r="E21" s="85" t="s">
        <v>141</v>
      </c>
      <c r="F21" s="131">
        <v>1731961.8335656226</v>
      </c>
      <c r="H21" s="85" t="s">
        <v>184</v>
      </c>
      <c r="I21" s="131">
        <v>4396326.9180734595</v>
      </c>
      <c r="J21" s="131">
        <v>1339131.2960000001</v>
      </c>
      <c r="K21" s="131">
        <v>1080625.2007999998</v>
      </c>
      <c r="L21" s="131">
        <v>6816083.4148734594</v>
      </c>
    </row>
    <row r="22" spans="1:14" x14ac:dyDescent="0.25">
      <c r="A22" s="128" t="s">
        <v>184</v>
      </c>
      <c r="B22" s="108" t="s">
        <v>136</v>
      </c>
      <c r="C22" s="129">
        <v>117401.53785479492</v>
      </c>
      <c r="E22" s="85" t="s">
        <v>118</v>
      </c>
      <c r="F22" s="131">
        <v>1620500</v>
      </c>
      <c r="H22" s="85" t="s">
        <v>185</v>
      </c>
      <c r="I22" s="131">
        <v>3985403</v>
      </c>
      <c r="J22" s="131">
        <v>1499914.476</v>
      </c>
      <c r="K22" s="131">
        <v>1037208.56</v>
      </c>
      <c r="L22" s="131">
        <v>6522526.0360000003</v>
      </c>
    </row>
    <row r="23" spans="1:14" x14ac:dyDescent="0.25">
      <c r="A23" s="128" t="s">
        <v>184</v>
      </c>
      <c r="B23" s="108" t="s">
        <v>100</v>
      </c>
      <c r="C23" s="129">
        <v>154825.98642395809</v>
      </c>
      <c r="E23" s="85" t="s">
        <v>153</v>
      </c>
      <c r="F23" s="131">
        <v>1415147.4497263853</v>
      </c>
      <c r="H23" s="85" t="s">
        <v>186</v>
      </c>
      <c r="I23" s="131">
        <v>4138969.0344418604</v>
      </c>
      <c r="J23" s="131">
        <v>1531264.7238596901</v>
      </c>
      <c r="K23" s="131">
        <v>1040869.8860705686</v>
      </c>
      <c r="L23" s="131">
        <v>6711103.6443721186</v>
      </c>
    </row>
    <row r="24" spans="1:14" x14ac:dyDescent="0.25">
      <c r="A24" s="128" t="s">
        <v>184</v>
      </c>
      <c r="B24" s="108" t="s">
        <v>101</v>
      </c>
      <c r="C24" s="129">
        <v>13208.99884175825</v>
      </c>
      <c r="E24" s="85" t="s">
        <v>137</v>
      </c>
      <c r="F24" s="131">
        <v>1412541.3797609448</v>
      </c>
      <c r="H24" s="85" t="s">
        <v>187</v>
      </c>
      <c r="I24" s="131">
        <v>4343640</v>
      </c>
      <c r="J24" s="131">
        <v>1568076</v>
      </c>
      <c r="K24" s="131">
        <v>1008528</v>
      </c>
      <c r="L24" s="131">
        <v>6920244</v>
      </c>
    </row>
    <row r="25" spans="1:14" x14ac:dyDescent="0.25">
      <c r="A25" s="128" t="s">
        <v>184</v>
      </c>
      <c r="B25" s="108" t="s">
        <v>102</v>
      </c>
      <c r="C25" s="129">
        <v>29586.997405640195</v>
      </c>
      <c r="E25" s="85" t="s">
        <v>93</v>
      </c>
      <c r="F25" s="131">
        <v>1334680.40784538</v>
      </c>
      <c r="H25" s="85" t="s">
        <v>190</v>
      </c>
      <c r="I25" s="131">
        <v>16864338.952515319</v>
      </c>
      <c r="J25" s="131">
        <v>5938386.49585969</v>
      </c>
      <c r="K25" s="131">
        <v>4167231.6468705684</v>
      </c>
      <c r="L25" s="131">
        <v>26969957.095245577</v>
      </c>
    </row>
    <row r="26" spans="1:14" x14ac:dyDescent="0.25">
      <c r="A26" s="128" t="s">
        <v>184</v>
      </c>
      <c r="B26" s="109" t="s">
        <v>103</v>
      </c>
      <c r="C26" s="129">
        <v>161696.98582146893</v>
      </c>
      <c r="E26" s="85" t="s">
        <v>132</v>
      </c>
      <c r="F26" s="131">
        <v>1250124</v>
      </c>
    </row>
    <row r="27" spans="1:14" x14ac:dyDescent="0.25">
      <c r="A27" s="128" t="s">
        <v>184</v>
      </c>
      <c r="B27" s="110" t="s">
        <v>104</v>
      </c>
      <c r="C27" s="129">
        <v>119256</v>
      </c>
      <c r="E27" s="85" t="s">
        <v>94</v>
      </c>
      <c r="F27" s="131">
        <v>1198672.6810720698</v>
      </c>
    </row>
    <row r="28" spans="1:14" ht="13" x14ac:dyDescent="0.3">
      <c r="A28" s="128" t="s">
        <v>184</v>
      </c>
      <c r="B28" s="108" t="s">
        <v>137</v>
      </c>
      <c r="C28" s="129">
        <v>312567</v>
      </c>
      <c r="E28" s="85" t="s">
        <v>145</v>
      </c>
      <c r="F28" s="131">
        <v>1164982.4284346155</v>
      </c>
      <c r="H28" s="132" t="s">
        <v>195</v>
      </c>
      <c r="I28" s="132" t="s">
        <v>131</v>
      </c>
      <c r="J28" s="132" t="s">
        <v>194</v>
      </c>
      <c r="K28" s="132" t="s">
        <v>122</v>
      </c>
      <c r="L28" s="132" t="s">
        <v>193</v>
      </c>
      <c r="M28" s="132" t="s">
        <v>123</v>
      </c>
      <c r="N28" s="132" t="s">
        <v>193</v>
      </c>
    </row>
    <row r="29" spans="1:14" x14ac:dyDescent="0.25">
      <c r="A29" s="128" t="s">
        <v>184</v>
      </c>
      <c r="B29" s="108" t="s">
        <v>138</v>
      </c>
      <c r="C29" s="129">
        <v>125890.00000000003</v>
      </c>
      <c r="E29" s="85" t="s">
        <v>116</v>
      </c>
      <c r="F29" s="131">
        <v>1156232</v>
      </c>
      <c r="H29" t="s">
        <v>184</v>
      </c>
      <c r="I29">
        <v>4396326.9180734595</v>
      </c>
      <c r="K29">
        <v>1339131.2960000001</v>
      </c>
      <c r="M29">
        <v>1080625.2007999998</v>
      </c>
    </row>
    <row r="30" spans="1:14" x14ac:dyDescent="0.25">
      <c r="A30" s="128" t="s">
        <v>184</v>
      </c>
      <c r="B30" s="108" t="s">
        <v>139</v>
      </c>
      <c r="C30" s="129">
        <v>404574</v>
      </c>
      <c r="E30" s="85" t="s">
        <v>95</v>
      </c>
      <c r="F30" s="131">
        <v>1140282.8916076883</v>
      </c>
      <c r="H30" t="s">
        <v>185</v>
      </c>
      <c r="I30">
        <v>3985403</v>
      </c>
      <c r="J30">
        <f>(I30-I29)/I29</f>
        <v>-9.3469827365234459E-2</v>
      </c>
      <c r="K30">
        <v>1499914.476</v>
      </c>
      <c r="L30">
        <f>(K30-K29)/K29</f>
        <v>0.12006528447230011</v>
      </c>
      <c r="M30">
        <v>1037208.56</v>
      </c>
      <c r="N30">
        <f>(M30-M29)/M29</f>
        <v>-4.0177335090702905E-2</v>
      </c>
    </row>
    <row r="31" spans="1:14" x14ac:dyDescent="0.25">
      <c r="A31" s="128" t="s">
        <v>184</v>
      </c>
      <c r="B31" s="108" t="s">
        <v>140</v>
      </c>
      <c r="C31" s="129">
        <v>52537.999999999993</v>
      </c>
      <c r="E31" s="85" t="s">
        <v>144</v>
      </c>
      <c r="F31" s="131">
        <v>887868.0004185515</v>
      </c>
      <c r="H31" t="s">
        <v>186</v>
      </c>
      <c r="I31">
        <v>4138969.0344418604</v>
      </c>
      <c r="J31">
        <f t="shared" ref="J31:J32" si="0">(I31-I30)/I30</f>
        <v>3.8532121956514911E-2</v>
      </c>
      <c r="K31">
        <v>1531264.7238596901</v>
      </c>
      <c r="L31">
        <f t="shared" ref="L31:L32" si="1">(K31-K30)/K30</f>
        <v>2.0901356951561353E-2</v>
      </c>
      <c r="M31">
        <v>1040869.8860705686</v>
      </c>
      <c r="N31">
        <f t="shared" ref="N31:N32" si="2">(M31-M30)/M30</f>
        <v>3.5299805764893843E-3</v>
      </c>
    </row>
    <row r="32" spans="1:14" x14ac:dyDescent="0.25">
      <c r="A32" s="128" t="s">
        <v>184</v>
      </c>
      <c r="B32" s="109" t="s">
        <v>105</v>
      </c>
      <c r="C32" s="129">
        <v>115884</v>
      </c>
      <c r="E32" s="85" t="s">
        <v>135</v>
      </c>
      <c r="F32" s="131">
        <v>881652.58108905808</v>
      </c>
      <c r="H32" t="s">
        <v>187</v>
      </c>
      <c r="I32">
        <v>4343640</v>
      </c>
      <c r="J32">
        <f t="shared" si="0"/>
        <v>4.9449745541703352E-2</v>
      </c>
      <c r="K32">
        <v>1568076</v>
      </c>
      <c r="L32">
        <f t="shared" si="1"/>
        <v>2.4039785914693929E-2</v>
      </c>
      <c r="M32">
        <v>1008528</v>
      </c>
      <c r="N32">
        <f t="shared" si="2"/>
        <v>-3.1071977874836773E-2</v>
      </c>
    </row>
    <row r="33" spans="1:11" x14ac:dyDescent="0.25">
      <c r="A33" s="128" t="s">
        <v>184</v>
      </c>
      <c r="B33" s="110" t="s">
        <v>141</v>
      </c>
      <c r="C33" s="129">
        <v>492789</v>
      </c>
      <c r="E33" s="85" t="s">
        <v>121</v>
      </c>
      <c r="F33" s="131">
        <v>803200</v>
      </c>
    </row>
    <row r="34" spans="1:11" x14ac:dyDescent="0.25">
      <c r="A34" s="128" t="s">
        <v>184</v>
      </c>
      <c r="B34" s="108" t="s">
        <v>142</v>
      </c>
      <c r="C34" s="129">
        <v>1809</v>
      </c>
      <c r="E34" s="85" t="s">
        <v>97</v>
      </c>
      <c r="F34" s="131">
        <v>785644.27086974122</v>
      </c>
    </row>
    <row r="35" spans="1:11" x14ac:dyDescent="0.25">
      <c r="A35" s="128" t="s">
        <v>184</v>
      </c>
      <c r="B35" s="108" t="s">
        <v>143</v>
      </c>
      <c r="C35" s="129">
        <v>45516</v>
      </c>
      <c r="E35" s="85" t="s">
        <v>106</v>
      </c>
      <c r="F35" s="131">
        <v>768943.76578233682</v>
      </c>
      <c r="H35" t="s">
        <v>195</v>
      </c>
      <c r="I35" t="s">
        <v>131</v>
      </c>
      <c r="J35" t="s">
        <v>122</v>
      </c>
      <c r="K35" t="s">
        <v>123</v>
      </c>
    </row>
    <row r="36" spans="1:11" x14ac:dyDescent="0.25">
      <c r="A36" s="128" t="s">
        <v>184</v>
      </c>
      <c r="B36" s="108" t="s">
        <v>144</v>
      </c>
      <c r="C36" s="129">
        <v>273856</v>
      </c>
      <c r="E36" s="85" t="s">
        <v>103</v>
      </c>
      <c r="F36" s="131">
        <v>602418.91494438227</v>
      </c>
      <c r="H36" t="s">
        <v>184</v>
      </c>
      <c r="I36">
        <v>4396326.9180734595</v>
      </c>
      <c r="J36">
        <v>1339131.2960000001</v>
      </c>
      <c r="K36">
        <v>1080625.2007999998</v>
      </c>
    </row>
    <row r="37" spans="1:11" x14ac:dyDescent="0.25">
      <c r="A37" s="128" t="s">
        <v>184</v>
      </c>
      <c r="B37" s="108" t="s">
        <v>145</v>
      </c>
      <c r="C37" s="129">
        <v>245014</v>
      </c>
      <c r="E37" s="85" t="s">
        <v>136</v>
      </c>
      <c r="F37" s="131">
        <v>594311.15303067851</v>
      </c>
      <c r="H37" t="s">
        <v>185</v>
      </c>
      <c r="I37">
        <v>3985403</v>
      </c>
      <c r="J37">
        <v>1499914.476</v>
      </c>
      <c r="K37">
        <v>1037208.56</v>
      </c>
    </row>
    <row r="38" spans="1:11" x14ac:dyDescent="0.25">
      <c r="A38" s="128" t="s">
        <v>184</v>
      </c>
      <c r="B38" s="108" t="s">
        <v>146</v>
      </c>
      <c r="C38" s="129">
        <v>8476</v>
      </c>
      <c r="E38" s="85" t="s">
        <v>100</v>
      </c>
      <c r="F38" s="131">
        <v>593516.51648275892</v>
      </c>
      <c r="H38" t="s">
        <v>186</v>
      </c>
      <c r="I38">
        <v>4138969.0344418604</v>
      </c>
      <c r="J38">
        <v>1531264.7238596901</v>
      </c>
      <c r="K38">
        <v>1040869.8860705686</v>
      </c>
    </row>
    <row r="39" spans="1:11" x14ac:dyDescent="0.25">
      <c r="A39" s="128" t="s">
        <v>184</v>
      </c>
      <c r="B39" s="109" t="s">
        <v>144</v>
      </c>
      <c r="C39" s="129">
        <v>722</v>
      </c>
      <c r="E39" s="85" t="s">
        <v>110</v>
      </c>
      <c r="F39" s="131">
        <v>534875.67986982688</v>
      </c>
      <c r="H39" t="s">
        <v>187</v>
      </c>
      <c r="I39">
        <v>4343640</v>
      </c>
      <c r="J39">
        <v>1568076</v>
      </c>
      <c r="K39">
        <v>1008528</v>
      </c>
    </row>
    <row r="40" spans="1:11" x14ac:dyDescent="0.25">
      <c r="A40" s="128" t="s">
        <v>184</v>
      </c>
      <c r="B40" s="110" t="s">
        <v>147</v>
      </c>
      <c r="C40" s="129">
        <v>127892</v>
      </c>
      <c r="E40" s="85" t="s">
        <v>138</v>
      </c>
      <c r="F40" s="131">
        <v>484079.58245563053</v>
      </c>
    </row>
    <row r="41" spans="1:11" x14ac:dyDescent="0.25">
      <c r="A41" s="128" t="s">
        <v>184</v>
      </c>
      <c r="B41" s="108" t="s">
        <v>148</v>
      </c>
      <c r="C41" s="129">
        <v>66989</v>
      </c>
      <c r="E41" s="85" t="s">
        <v>104</v>
      </c>
      <c r="F41" s="131">
        <v>481507</v>
      </c>
      <c r="H41" s="130" t="s">
        <v>189</v>
      </c>
      <c r="I41" t="s">
        <v>191</v>
      </c>
    </row>
    <row r="42" spans="1:11" x14ac:dyDescent="0.25">
      <c r="A42" s="128" t="s">
        <v>184</v>
      </c>
      <c r="B42" s="108" t="s">
        <v>106</v>
      </c>
      <c r="C42" s="129">
        <v>179219.4</v>
      </c>
      <c r="E42" s="85" t="s">
        <v>161</v>
      </c>
      <c r="F42" s="131">
        <v>455056</v>
      </c>
      <c r="H42" s="85" t="s">
        <v>131</v>
      </c>
      <c r="I42" s="131">
        <v>16864338.952515319</v>
      </c>
    </row>
    <row r="43" spans="1:11" x14ac:dyDescent="0.25">
      <c r="A43" s="128" t="s">
        <v>184</v>
      </c>
      <c r="B43" s="108" t="s">
        <v>107</v>
      </c>
      <c r="C43" s="129">
        <v>8389</v>
      </c>
      <c r="E43" s="85" t="s">
        <v>160</v>
      </c>
      <c r="F43" s="131">
        <v>444726.5072058916</v>
      </c>
      <c r="H43" s="85" t="s">
        <v>122</v>
      </c>
      <c r="I43" s="131">
        <v>5938386.49585969</v>
      </c>
    </row>
    <row r="44" spans="1:11" x14ac:dyDescent="0.25">
      <c r="A44" s="128" t="s">
        <v>184</v>
      </c>
      <c r="B44" s="109" t="s">
        <v>108</v>
      </c>
      <c r="C44" s="129">
        <v>7193</v>
      </c>
      <c r="E44" s="85" t="s">
        <v>140</v>
      </c>
      <c r="F44" s="131">
        <v>420834.762045854</v>
      </c>
      <c r="H44" s="85" t="s">
        <v>123</v>
      </c>
      <c r="I44" s="131">
        <v>4167231.6468705684</v>
      </c>
    </row>
    <row r="45" spans="1:11" x14ac:dyDescent="0.25">
      <c r="A45" s="128" t="s">
        <v>184</v>
      </c>
      <c r="B45" s="110" t="s">
        <v>149</v>
      </c>
      <c r="C45" s="129">
        <v>10773</v>
      </c>
      <c r="E45" s="85" t="s">
        <v>148</v>
      </c>
      <c r="F45" s="131">
        <v>368256.71147851599</v>
      </c>
      <c r="H45" s="85" t="s">
        <v>124</v>
      </c>
      <c r="I45" s="131">
        <v>3646394</v>
      </c>
    </row>
    <row r="46" spans="1:11" x14ac:dyDescent="0.25">
      <c r="A46" s="128" t="s">
        <v>184</v>
      </c>
      <c r="B46" s="108" t="s">
        <v>151</v>
      </c>
      <c r="C46" s="129">
        <v>500</v>
      </c>
      <c r="E46" s="85" t="s">
        <v>119</v>
      </c>
      <c r="F46" s="131">
        <v>355040.99934819702</v>
      </c>
      <c r="H46" s="85" t="s">
        <v>120</v>
      </c>
      <c r="I46" s="131">
        <v>3070015</v>
      </c>
    </row>
    <row r="47" spans="1:11" x14ac:dyDescent="0.25">
      <c r="A47" s="128" t="s">
        <v>184</v>
      </c>
      <c r="B47" s="109" t="s">
        <v>109</v>
      </c>
      <c r="C47" s="129">
        <v>41534</v>
      </c>
      <c r="E47" s="85" t="s">
        <v>143</v>
      </c>
      <c r="F47" s="131">
        <v>330038.45201349305</v>
      </c>
      <c r="H47" s="85" t="s">
        <v>190</v>
      </c>
      <c r="I47" s="131">
        <v>33686366.095245577</v>
      </c>
    </row>
    <row r="48" spans="1:11" x14ac:dyDescent="0.25">
      <c r="A48" s="128" t="s">
        <v>184</v>
      </c>
      <c r="B48" s="110" t="s">
        <v>110</v>
      </c>
      <c r="C48" s="129">
        <v>130741</v>
      </c>
      <c r="E48" s="85" t="s">
        <v>115</v>
      </c>
      <c r="F48" s="131">
        <v>302031</v>
      </c>
    </row>
    <row r="49" spans="1:6" x14ac:dyDescent="0.25">
      <c r="A49" s="128" t="s">
        <v>184</v>
      </c>
      <c r="B49" s="109" t="s">
        <v>111</v>
      </c>
      <c r="C49" s="129">
        <v>25276</v>
      </c>
      <c r="E49" s="85" t="s">
        <v>96</v>
      </c>
      <c r="F49" s="131">
        <v>300159</v>
      </c>
    </row>
    <row r="50" spans="1:6" x14ac:dyDescent="0.25">
      <c r="A50" s="128" t="s">
        <v>184</v>
      </c>
      <c r="B50" s="110" t="s">
        <v>112</v>
      </c>
      <c r="C50" s="129">
        <v>41155</v>
      </c>
      <c r="E50" s="85" t="s">
        <v>154</v>
      </c>
      <c r="F50" s="131">
        <v>275016.83206933108</v>
      </c>
    </row>
    <row r="51" spans="1:6" x14ac:dyDescent="0.25">
      <c r="A51" s="128" t="s">
        <v>184</v>
      </c>
      <c r="B51" s="109" t="s">
        <v>113</v>
      </c>
      <c r="C51" s="129">
        <v>18546</v>
      </c>
      <c r="E51" s="85" t="s">
        <v>147</v>
      </c>
      <c r="F51" s="131">
        <v>267258.19985834614</v>
      </c>
    </row>
    <row r="52" spans="1:6" x14ac:dyDescent="0.25">
      <c r="A52" s="128" t="s">
        <v>184</v>
      </c>
      <c r="B52" s="110" t="s">
        <v>153</v>
      </c>
      <c r="C52" s="129">
        <v>348941</v>
      </c>
      <c r="E52" s="85" t="s">
        <v>159</v>
      </c>
      <c r="F52" s="131">
        <v>250038.34535320214</v>
      </c>
    </row>
    <row r="53" spans="1:6" x14ac:dyDescent="0.25">
      <c r="A53" s="128" t="s">
        <v>184</v>
      </c>
      <c r="B53" s="108" t="s">
        <v>154</v>
      </c>
      <c r="C53" s="129">
        <v>44859</v>
      </c>
      <c r="E53" s="85" t="s">
        <v>156</v>
      </c>
      <c r="F53" s="131">
        <v>202499.34551437962</v>
      </c>
    </row>
    <row r="54" spans="1:6" x14ac:dyDescent="0.25">
      <c r="A54" s="128" t="s">
        <v>184</v>
      </c>
      <c r="B54" s="108" t="s">
        <v>155</v>
      </c>
      <c r="C54" s="129">
        <v>25089</v>
      </c>
      <c r="E54" s="85" t="s">
        <v>127</v>
      </c>
      <c r="F54" s="131">
        <v>175640</v>
      </c>
    </row>
    <row r="55" spans="1:6" x14ac:dyDescent="0.25">
      <c r="A55" s="128" t="s">
        <v>184</v>
      </c>
      <c r="B55" s="108" t="s">
        <v>156</v>
      </c>
      <c r="C55" s="129">
        <v>56928</v>
      </c>
      <c r="E55" s="85" t="s">
        <v>105</v>
      </c>
      <c r="F55" s="131">
        <v>171803</v>
      </c>
    </row>
    <row r="56" spans="1:6" x14ac:dyDescent="0.25">
      <c r="A56" s="128" t="s">
        <v>184</v>
      </c>
      <c r="B56" s="108" t="s">
        <v>157</v>
      </c>
      <c r="C56" s="129">
        <v>431390</v>
      </c>
      <c r="E56" s="85" t="s">
        <v>112</v>
      </c>
      <c r="F56" s="131">
        <v>170195.38912836424</v>
      </c>
    </row>
    <row r="57" spans="1:6" x14ac:dyDescent="0.25">
      <c r="A57" s="128" t="s">
        <v>184</v>
      </c>
      <c r="B57" s="108" t="s">
        <v>158</v>
      </c>
      <c r="C57" s="129">
        <v>72139</v>
      </c>
      <c r="E57" s="85" t="s">
        <v>111</v>
      </c>
      <c r="F57" s="131">
        <v>160705.90985449456</v>
      </c>
    </row>
    <row r="58" spans="1:6" x14ac:dyDescent="0.25">
      <c r="A58" s="128" t="s">
        <v>184</v>
      </c>
      <c r="B58" s="109" t="s">
        <v>114</v>
      </c>
      <c r="C58" s="129">
        <v>27772</v>
      </c>
      <c r="E58" s="85" t="s">
        <v>158</v>
      </c>
      <c r="F58" s="131">
        <v>148798.36280494279</v>
      </c>
    </row>
    <row r="59" spans="1:6" x14ac:dyDescent="0.25">
      <c r="A59" s="128" t="s">
        <v>184</v>
      </c>
      <c r="B59" s="110" t="s">
        <v>115</v>
      </c>
      <c r="C59" s="129">
        <v>62747</v>
      </c>
      <c r="E59" s="85" t="s">
        <v>130</v>
      </c>
      <c r="F59" s="131">
        <v>135105</v>
      </c>
    </row>
    <row r="60" spans="1:6" x14ac:dyDescent="0.25">
      <c r="A60" s="128" t="s">
        <v>184</v>
      </c>
      <c r="B60" s="108" t="s">
        <v>159</v>
      </c>
      <c r="C60" s="129">
        <v>63743</v>
      </c>
      <c r="E60" s="85" t="s">
        <v>134</v>
      </c>
      <c r="F60" s="131">
        <v>109967.18245184862</v>
      </c>
    </row>
    <row r="61" spans="1:6" x14ac:dyDescent="0.25">
      <c r="A61" s="128" t="s">
        <v>184</v>
      </c>
      <c r="B61" s="109" t="s">
        <v>160</v>
      </c>
      <c r="C61" s="129">
        <v>104428</v>
      </c>
      <c r="E61" s="85" t="s">
        <v>114</v>
      </c>
      <c r="F61" s="131">
        <v>96791</v>
      </c>
    </row>
    <row r="62" spans="1:6" x14ac:dyDescent="0.25">
      <c r="A62" s="128" t="s">
        <v>184</v>
      </c>
      <c r="B62" s="110" t="s">
        <v>116</v>
      </c>
      <c r="C62" s="129">
        <v>393009</v>
      </c>
      <c r="E62" s="85" t="s">
        <v>109</v>
      </c>
      <c r="F62" s="131">
        <v>84236.642989699831</v>
      </c>
    </row>
    <row r="63" spans="1:6" x14ac:dyDescent="0.25">
      <c r="A63" s="128" t="s">
        <v>184</v>
      </c>
      <c r="B63" s="108" t="s">
        <v>161</v>
      </c>
      <c r="C63" s="129">
        <v>127025</v>
      </c>
      <c r="E63" s="85" t="s">
        <v>155</v>
      </c>
      <c r="F63" s="131">
        <v>79586.20783586787</v>
      </c>
    </row>
    <row r="64" spans="1:6" x14ac:dyDescent="0.25">
      <c r="A64" s="128" t="s">
        <v>184</v>
      </c>
      <c r="B64" s="108" t="s">
        <v>117</v>
      </c>
      <c r="C64" s="129">
        <v>6278</v>
      </c>
      <c r="E64" s="85" t="s">
        <v>129</v>
      </c>
      <c r="F64" s="131">
        <v>72387</v>
      </c>
    </row>
    <row r="65" spans="1:6" x14ac:dyDescent="0.25">
      <c r="A65" s="128" t="s">
        <v>184</v>
      </c>
      <c r="B65" s="106" t="s">
        <v>119</v>
      </c>
      <c r="C65" s="129">
        <v>323478</v>
      </c>
      <c r="E65" s="85" t="s">
        <v>113</v>
      </c>
      <c r="F65" s="131">
        <v>66822.908989609539</v>
      </c>
    </row>
    <row r="66" spans="1:6" x14ac:dyDescent="0.25">
      <c r="A66" s="128" t="s">
        <v>184</v>
      </c>
      <c r="B66" s="106" t="s">
        <v>118</v>
      </c>
      <c r="C66" s="129">
        <v>313800</v>
      </c>
      <c r="E66" s="85" t="s">
        <v>128</v>
      </c>
      <c r="F66" s="131">
        <v>64860</v>
      </c>
    </row>
    <row r="67" spans="1:6" x14ac:dyDescent="0.25">
      <c r="A67" s="129" t="s">
        <v>185</v>
      </c>
      <c r="B67" s="42" t="s">
        <v>93</v>
      </c>
      <c r="C67" s="129">
        <v>347704</v>
      </c>
      <c r="E67" s="85" t="s">
        <v>102</v>
      </c>
      <c r="F67" s="131">
        <v>62461.693546053255</v>
      </c>
    </row>
    <row r="68" spans="1:6" x14ac:dyDescent="0.25">
      <c r="A68" s="129" t="s">
        <v>185</v>
      </c>
      <c r="B68" s="99" t="s">
        <v>120</v>
      </c>
      <c r="C68" s="129">
        <v>745679</v>
      </c>
      <c r="E68" s="85" t="s">
        <v>101</v>
      </c>
      <c r="F68" s="131">
        <v>52494.247169270573</v>
      </c>
    </row>
    <row r="69" spans="1:6" x14ac:dyDescent="0.25">
      <c r="A69" s="129" t="s">
        <v>185</v>
      </c>
      <c r="B69" s="100" t="s">
        <v>121</v>
      </c>
      <c r="C69" s="129">
        <v>193267</v>
      </c>
      <c r="E69" s="85" t="s">
        <v>149</v>
      </c>
      <c r="F69" s="131">
        <v>47825.219317969815</v>
      </c>
    </row>
    <row r="70" spans="1:6" x14ac:dyDescent="0.25">
      <c r="A70" s="129" t="s">
        <v>185</v>
      </c>
      <c r="B70" s="100" t="s">
        <v>94</v>
      </c>
      <c r="C70" s="129">
        <v>277149</v>
      </c>
      <c r="E70" s="85" t="s">
        <v>142</v>
      </c>
      <c r="F70" s="131">
        <v>43018.60616946379</v>
      </c>
    </row>
    <row r="71" spans="1:6" x14ac:dyDescent="0.25">
      <c r="A71" s="129" t="s">
        <v>185</v>
      </c>
      <c r="B71" s="100" t="s">
        <v>95</v>
      </c>
      <c r="C71" s="129">
        <v>271504</v>
      </c>
      <c r="E71" s="85" t="s">
        <v>108</v>
      </c>
      <c r="F71" s="131">
        <v>30822.775496370672</v>
      </c>
    </row>
    <row r="72" spans="1:6" x14ac:dyDescent="0.25">
      <c r="A72" s="129" t="s">
        <v>185</v>
      </c>
      <c r="B72" s="101" t="s">
        <v>96</v>
      </c>
      <c r="C72" s="129">
        <v>69825</v>
      </c>
      <c r="E72" s="85" t="s">
        <v>107</v>
      </c>
      <c r="F72" s="131">
        <v>29942</v>
      </c>
    </row>
    <row r="73" spans="1:6" x14ac:dyDescent="0.25">
      <c r="A73" s="129" t="s">
        <v>185</v>
      </c>
      <c r="B73" s="102" t="s">
        <v>122</v>
      </c>
      <c r="C73" s="129">
        <v>1499914.476</v>
      </c>
      <c r="E73" s="85" t="s">
        <v>151</v>
      </c>
      <c r="F73" s="131">
        <v>14651.399693646103</v>
      </c>
    </row>
    <row r="74" spans="1:6" x14ac:dyDescent="0.25">
      <c r="A74" s="129" t="s">
        <v>185</v>
      </c>
      <c r="B74" s="100" t="s">
        <v>123</v>
      </c>
      <c r="C74" s="129">
        <v>1037208.56</v>
      </c>
      <c r="E74" s="85" t="s">
        <v>117</v>
      </c>
      <c r="F74" s="131">
        <v>14095</v>
      </c>
    </row>
    <row r="75" spans="1:6" x14ac:dyDescent="0.25">
      <c r="A75" s="129" t="s">
        <v>185</v>
      </c>
      <c r="B75" s="100" t="s">
        <v>124</v>
      </c>
      <c r="C75" s="129">
        <v>883745</v>
      </c>
      <c r="E75" s="85" t="s">
        <v>150</v>
      </c>
      <c r="F75" s="131">
        <v>12274.773160649234</v>
      </c>
    </row>
    <row r="76" spans="1:6" x14ac:dyDescent="0.25">
      <c r="A76" s="129" t="s">
        <v>185</v>
      </c>
      <c r="B76" s="100" t="s">
        <v>125</v>
      </c>
      <c r="C76" s="129">
        <v>1540</v>
      </c>
      <c r="E76" s="85" t="s">
        <v>98</v>
      </c>
      <c r="F76" s="131">
        <v>11567</v>
      </c>
    </row>
    <row r="77" spans="1:6" x14ac:dyDescent="0.25">
      <c r="A77" s="129" t="s">
        <v>185</v>
      </c>
      <c r="B77" s="100" t="s">
        <v>126</v>
      </c>
      <c r="C77" s="129">
        <v>535633</v>
      </c>
      <c r="E77" s="85" t="s">
        <v>125</v>
      </c>
      <c r="F77" s="131">
        <v>9492</v>
      </c>
    </row>
    <row r="78" spans="1:6" x14ac:dyDescent="0.25">
      <c r="A78" s="129" t="s">
        <v>185</v>
      </c>
      <c r="B78" s="100" t="s">
        <v>127</v>
      </c>
      <c r="C78" s="129">
        <v>60625</v>
      </c>
      <c r="E78" s="85" t="s">
        <v>146</v>
      </c>
      <c r="F78" s="131">
        <v>8418</v>
      </c>
    </row>
    <row r="79" spans="1:6" x14ac:dyDescent="0.25">
      <c r="A79" s="129" t="s">
        <v>185</v>
      </c>
      <c r="B79" s="100" t="s">
        <v>97</v>
      </c>
      <c r="C79" s="129">
        <v>185369.96400000001</v>
      </c>
      <c r="E79" s="85" t="s">
        <v>180</v>
      </c>
      <c r="F79" s="131">
        <v>5972.043508402573</v>
      </c>
    </row>
    <row r="80" spans="1:6" x14ac:dyDescent="0.25">
      <c r="A80" s="129" t="s">
        <v>185</v>
      </c>
      <c r="B80" s="100" t="s">
        <v>128</v>
      </c>
      <c r="C80" s="129">
        <v>27916</v>
      </c>
      <c r="E80" s="85" t="s">
        <v>152</v>
      </c>
      <c r="F80" s="131">
        <v>1880.9920760386085</v>
      </c>
    </row>
    <row r="81" spans="1:6" x14ac:dyDescent="0.25">
      <c r="A81" s="129" t="s">
        <v>185</v>
      </c>
      <c r="B81" s="100" t="s">
        <v>129</v>
      </c>
      <c r="C81" s="129">
        <v>16688</v>
      </c>
      <c r="E81" s="85" t="s">
        <v>99</v>
      </c>
      <c r="F81" s="131">
        <v>0</v>
      </c>
    </row>
    <row r="82" spans="1:6" x14ac:dyDescent="0.25">
      <c r="A82" s="129" t="s">
        <v>185</v>
      </c>
      <c r="B82" s="100" t="s">
        <v>130</v>
      </c>
      <c r="C82" s="129">
        <v>26562</v>
      </c>
      <c r="E82" s="85" t="s">
        <v>133</v>
      </c>
      <c r="F82" s="131">
        <v>0</v>
      </c>
    </row>
    <row r="83" spans="1:6" x14ac:dyDescent="0.25">
      <c r="A83" s="129" t="s">
        <v>185</v>
      </c>
      <c r="B83" s="101" t="s">
        <v>98</v>
      </c>
      <c r="C83" s="129">
        <v>2748</v>
      </c>
      <c r="E83" s="85" t="s">
        <v>190</v>
      </c>
      <c r="F83" s="131">
        <v>66496963.527592272</v>
      </c>
    </row>
    <row r="84" spans="1:6" x14ac:dyDescent="0.25">
      <c r="A84" s="129" t="s">
        <v>185</v>
      </c>
      <c r="B84" s="102" t="s">
        <v>131</v>
      </c>
      <c r="C84" s="129">
        <v>3985403</v>
      </c>
    </row>
    <row r="85" spans="1:6" x14ac:dyDescent="0.25">
      <c r="A85" s="129" t="s">
        <v>185</v>
      </c>
      <c r="B85" s="100" t="s">
        <v>132</v>
      </c>
      <c r="C85" s="129">
        <v>418401</v>
      </c>
    </row>
    <row r="86" spans="1:6" x14ac:dyDescent="0.25">
      <c r="A86" s="129" t="s">
        <v>185</v>
      </c>
      <c r="B86" s="100" t="s">
        <v>133</v>
      </c>
      <c r="C86" s="129">
        <v>0</v>
      </c>
    </row>
    <row r="87" spans="1:6" x14ac:dyDescent="0.25">
      <c r="A87" s="129" t="s">
        <v>185</v>
      </c>
      <c r="B87" s="100" t="s">
        <v>99</v>
      </c>
      <c r="C87" s="129">
        <v>0</v>
      </c>
    </row>
    <row r="88" spans="1:6" x14ac:dyDescent="0.25">
      <c r="A88" s="129" t="s">
        <v>185</v>
      </c>
      <c r="B88" s="100" t="s">
        <v>134</v>
      </c>
      <c r="C88" s="129">
        <v>20635</v>
      </c>
    </row>
    <row r="89" spans="1:6" x14ac:dyDescent="0.25">
      <c r="A89" s="129" t="s">
        <v>185</v>
      </c>
      <c r="B89" s="100" t="s">
        <v>135</v>
      </c>
      <c r="C89" s="129">
        <v>214953</v>
      </c>
    </row>
    <row r="90" spans="1:6" x14ac:dyDescent="0.25">
      <c r="A90" s="129" t="s">
        <v>185</v>
      </c>
      <c r="B90" s="100" t="s">
        <v>136</v>
      </c>
      <c r="C90" s="129">
        <v>129506</v>
      </c>
    </row>
    <row r="91" spans="1:6" x14ac:dyDescent="0.25">
      <c r="A91" s="129" t="s">
        <v>185</v>
      </c>
      <c r="B91" s="100" t="s">
        <v>100</v>
      </c>
      <c r="C91" s="129">
        <v>151132</v>
      </c>
    </row>
    <row r="92" spans="1:6" x14ac:dyDescent="0.25">
      <c r="A92" s="129" t="s">
        <v>185</v>
      </c>
      <c r="B92" s="100" t="s">
        <v>101</v>
      </c>
      <c r="C92" s="129">
        <v>12674</v>
      </c>
    </row>
    <row r="93" spans="1:6" x14ac:dyDescent="0.25">
      <c r="A93" s="129" t="s">
        <v>185</v>
      </c>
      <c r="B93" s="100" t="s">
        <v>102</v>
      </c>
      <c r="C93" s="129">
        <v>9254</v>
      </c>
    </row>
    <row r="94" spans="1:6" x14ac:dyDescent="0.25">
      <c r="A94" s="129" t="s">
        <v>185</v>
      </c>
      <c r="B94" s="101" t="s">
        <v>103</v>
      </c>
      <c r="C94" s="129">
        <v>129402</v>
      </c>
    </row>
    <row r="95" spans="1:6" x14ac:dyDescent="0.25">
      <c r="A95" s="129" t="s">
        <v>185</v>
      </c>
      <c r="B95" s="102" t="s">
        <v>104</v>
      </c>
      <c r="C95" s="129">
        <v>118889</v>
      </c>
    </row>
    <row r="96" spans="1:6" x14ac:dyDescent="0.25">
      <c r="A96" s="129" t="s">
        <v>185</v>
      </c>
      <c r="B96" s="100" t="s">
        <v>137</v>
      </c>
      <c r="C96" s="129">
        <v>315876</v>
      </c>
    </row>
    <row r="97" spans="1:3" x14ac:dyDescent="0.25">
      <c r="A97" s="129" t="s">
        <v>185</v>
      </c>
      <c r="B97" s="100" t="s">
        <v>138</v>
      </c>
      <c r="C97" s="129">
        <v>173717</v>
      </c>
    </row>
    <row r="98" spans="1:3" x14ac:dyDescent="0.25">
      <c r="A98" s="129" t="s">
        <v>185</v>
      </c>
      <c r="B98" s="100" t="s">
        <v>139</v>
      </c>
      <c r="C98" s="129">
        <v>575593</v>
      </c>
    </row>
    <row r="99" spans="1:3" x14ac:dyDescent="0.25">
      <c r="A99" s="129" t="s">
        <v>185</v>
      </c>
      <c r="B99" s="100" t="s">
        <v>140</v>
      </c>
      <c r="C99" s="129">
        <v>95440</v>
      </c>
    </row>
    <row r="100" spans="1:3" x14ac:dyDescent="0.25">
      <c r="A100" s="129" t="s">
        <v>185</v>
      </c>
      <c r="B100" s="101" t="s">
        <v>105</v>
      </c>
      <c r="C100" s="129">
        <v>18265</v>
      </c>
    </row>
    <row r="101" spans="1:3" x14ac:dyDescent="0.25">
      <c r="A101" s="129" t="s">
        <v>185</v>
      </c>
      <c r="B101" s="102" t="s">
        <v>141</v>
      </c>
      <c r="C101" s="129">
        <v>475736</v>
      </c>
    </row>
    <row r="102" spans="1:3" x14ac:dyDescent="0.25">
      <c r="A102" s="129" t="s">
        <v>185</v>
      </c>
      <c r="B102" s="100" t="s">
        <v>142</v>
      </c>
      <c r="C102" s="129">
        <v>17146</v>
      </c>
    </row>
    <row r="103" spans="1:3" x14ac:dyDescent="0.25">
      <c r="A103" s="129" t="s">
        <v>185</v>
      </c>
      <c r="B103" s="100" t="s">
        <v>143</v>
      </c>
      <c r="C103" s="129">
        <v>87672</v>
      </c>
    </row>
    <row r="104" spans="1:3" x14ac:dyDescent="0.25">
      <c r="A104" s="129" t="s">
        <v>185</v>
      </c>
      <c r="B104" s="100" t="s">
        <v>144</v>
      </c>
      <c r="C104" s="129">
        <v>237061</v>
      </c>
    </row>
    <row r="105" spans="1:3" x14ac:dyDescent="0.25">
      <c r="A105" s="129" t="s">
        <v>185</v>
      </c>
      <c r="B105" s="100" t="s">
        <v>145</v>
      </c>
      <c r="C105" s="129">
        <v>276040</v>
      </c>
    </row>
    <row r="106" spans="1:3" x14ac:dyDescent="0.25">
      <c r="A106" s="129" t="s">
        <v>185</v>
      </c>
      <c r="B106" s="100" t="s">
        <v>146</v>
      </c>
      <c r="C106" s="129">
        <v>-58</v>
      </c>
    </row>
    <row r="107" spans="1:3" x14ac:dyDescent="0.25">
      <c r="A107" s="129" t="s">
        <v>185</v>
      </c>
      <c r="B107" s="101" t="s">
        <v>144</v>
      </c>
      <c r="C107" s="129">
        <v>551</v>
      </c>
    </row>
    <row r="108" spans="1:3" x14ac:dyDescent="0.25">
      <c r="A108" s="129" t="s">
        <v>185</v>
      </c>
      <c r="B108" s="102" t="s">
        <v>147</v>
      </c>
      <c r="C108" s="129">
        <v>47406</v>
      </c>
    </row>
    <row r="109" spans="1:3" x14ac:dyDescent="0.25">
      <c r="A109" s="129" t="s">
        <v>185</v>
      </c>
      <c r="B109" s="100" t="s">
        <v>148</v>
      </c>
      <c r="C109" s="129">
        <v>96253</v>
      </c>
    </row>
    <row r="110" spans="1:3" x14ac:dyDescent="0.25">
      <c r="A110" s="129" t="s">
        <v>185</v>
      </c>
      <c r="B110" s="100" t="s">
        <v>106</v>
      </c>
      <c r="C110" s="129">
        <v>183375</v>
      </c>
    </row>
    <row r="111" spans="1:3" x14ac:dyDescent="0.25">
      <c r="A111" s="129" t="s">
        <v>185</v>
      </c>
      <c r="B111" s="100" t="s">
        <v>107</v>
      </c>
      <c r="C111" s="129">
        <v>7854</v>
      </c>
    </row>
    <row r="112" spans="1:3" x14ac:dyDescent="0.25">
      <c r="A112" s="129" t="s">
        <v>185</v>
      </c>
      <c r="B112" s="101" t="s">
        <v>108</v>
      </c>
      <c r="C112" s="129">
        <v>8646</v>
      </c>
    </row>
    <row r="113" spans="1:3" x14ac:dyDescent="0.25">
      <c r="A113" s="129" t="s">
        <v>185</v>
      </c>
      <c r="B113" s="102" t="s">
        <v>149</v>
      </c>
      <c r="C113" s="129">
        <v>10734</v>
      </c>
    </row>
    <row r="114" spans="1:3" x14ac:dyDescent="0.25">
      <c r="A114" s="129" t="s">
        <v>185</v>
      </c>
      <c r="B114" s="100" t="s">
        <v>150</v>
      </c>
      <c r="C114" s="129">
        <v>13508</v>
      </c>
    </row>
    <row r="115" spans="1:3" x14ac:dyDescent="0.25">
      <c r="A115" s="129" t="s">
        <v>185</v>
      </c>
      <c r="B115" s="100" t="s">
        <v>151</v>
      </c>
      <c r="C115" s="129">
        <v>8398</v>
      </c>
    </row>
    <row r="116" spans="1:3" x14ac:dyDescent="0.25">
      <c r="A116" s="129" t="s">
        <v>185</v>
      </c>
      <c r="B116" s="100" t="s">
        <v>152</v>
      </c>
      <c r="C116" s="129">
        <v>754</v>
      </c>
    </row>
    <row r="117" spans="1:3" x14ac:dyDescent="0.25">
      <c r="A117" s="129" t="s">
        <v>185</v>
      </c>
      <c r="B117" s="101" t="s">
        <v>109</v>
      </c>
      <c r="C117" s="129">
        <v>15708</v>
      </c>
    </row>
    <row r="118" spans="1:3" x14ac:dyDescent="0.25">
      <c r="A118" s="129" t="s">
        <v>185</v>
      </c>
      <c r="B118" s="102" t="s">
        <v>110</v>
      </c>
      <c r="C118" s="129">
        <v>130345</v>
      </c>
    </row>
    <row r="119" spans="1:3" x14ac:dyDescent="0.25">
      <c r="A119" s="129" t="s">
        <v>185</v>
      </c>
      <c r="B119" s="101" t="s">
        <v>111</v>
      </c>
      <c r="C119" s="129">
        <v>76602</v>
      </c>
    </row>
    <row r="120" spans="1:3" x14ac:dyDescent="0.25">
      <c r="A120" s="129" t="s">
        <v>185</v>
      </c>
      <c r="B120" s="102" t="s">
        <v>112</v>
      </c>
      <c r="C120" s="129">
        <v>42575</v>
      </c>
    </row>
    <row r="121" spans="1:3" x14ac:dyDescent="0.25">
      <c r="A121" s="129" t="s">
        <v>185</v>
      </c>
      <c r="B121" s="101" t="s">
        <v>113</v>
      </c>
      <c r="C121" s="129">
        <v>15482.000000000029</v>
      </c>
    </row>
    <row r="122" spans="1:3" x14ac:dyDescent="0.25">
      <c r="A122" s="129" t="s">
        <v>185</v>
      </c>
      <c r="B122" s="102" t="s">
        <v>153</v>
      </c>
      <c r="C122" s="129">
        <v>395551</v>
      </c>
    </row>
    <row r="123" spans="1:3" x14ac:dyDescent="0.25">
      <c r="A123" s="129" t="s">
        <v>185</v>
      </c>
      <c r="B123" s="100" t="s">
        <v>154</v>
      </c>
      <c r="C123" s="129">
        <v>40812</v>
      </c>
    </row>
    <row r="124" spans="1:3" x14ac:dyDescent="0.25">
      <c r="A124" s="129" t="s">
        <v>185</v>
      </c>
      <c r="B124" s="100" t="s">
        <v>155</v>
      </c>
      <c r="C124" s="129">
        <v>24150</v>
      </c>
    </row>
    <row r="125" spans="1:3" x14ac:dyDescent="0.25">
      <c r="A125" s="129" t="s">
        <v>185</v>
      </c>
      <c r="B125" s="100" t="s">
        <v>156</v>
      </c>
      <c r="C125" s="129">
        <v>58933</v>
      </c>
    </row>
    <row r="126" spans="1:3" x14ac:dyDescent="0.25">
      <c r="A126" s="129" t="s">
        <v>185</v>
      </c>
      <c r="B126" s="100" t="s">
        <v>157</v>
      </c>
      <c r="C126" s="129">
        <v>446561</v>
      </c>
    </row>
    <row r="127" spans="1:3" x14ac:dyDescent="0.25">
      <c r="A127" s="129" t="s">
        <v>185</v>
      </c>
      <c r="B127" s="100" t="s">
        <v>158</v>
      </c>
      <c r="C127" s="129">
        <v>8009</v>
      </c>
    </row>
    <row r="128" spans="1:3" x14ac:dyDescent="0.25">
      <c r="A128" s="129" t="s">
        <v>185</v>
      </c>
      <c r="B128" s="101" t="s">
        <v>114</v>
      </c>
      <c r="C128" s="129">
        <v>42633</v>
      </c>
    </row>
    <row r="129" spans="1:3" x14ac:dyDescent="0.25">
      <c r="A129" s="129" t="s">
        <v>185</v>
      </c>
      <c r="B129" s="102" t="s">
        <v>115</v>
      </c>
      <c r="C129" s="129">
        <v>63639</v>
      </c>
    </row>
    <row r="130" spans="1:3" x14ac:dyDescent="0.25">
      <c r="A130" s="129" t="s">
        <v>185</v>
      </c>
      <c r="B130" s="100" t="s">
        <v>159</v>
      </c>
      <c r="C130" s="129">
        <v>63211</v>
      </c>
    </row>
    <row r="131" spans="1:3" x14ac:dyDescent="0.25">
      <c r="A131" s="129" t="s">
        <v>185</v>
      </c>
      <c r="B131" s="101" t="s">
        <v>160</v>
      </c>
      <c r="C131" s="129">
        <v>115150</v>
      </c>
    </row>
    <row r="132" spans="1:3" x14ac:dyDescent="0.25">
      <c r="A132" s="129" t="s">
        <v>185</v>
      </c>
      <c r="B132" s="102" t="s">
        <v>116</v>
      </c>
      <c r="C132" s="129">
        <v>299856</v>
      </c>
    </row>
    <row r="133" spans="1:3" x14ac:dyDescent="0.25">
      <c r="A133" s="129" t="s">
        <v>185</v>
      </c>
      <c r="B133" s="100" t="s">
        <v>161</v>
      </c>
      <c r="C133" s="129">
        <v>55087</v>
      </c>
    </row>
    <row r="134" spans="1:3" x14ac:dyDescent="0.25">
      <c r="A134" s="129" t="s">
        <v>185</v>
      </c>
      <c r="B134" s="100" t="s">
        <v>117</v>
      </c>
      <c r="C134" s="129">
        <v>847</v>
      </c>
    </row>
    <row r="135" spans="1:3" x14ac:dyDescent="0.25">
      <c r="A135" s="129" t="s">
        <v>185</v>
      </c>
      <c r="B135" s="101" t="s">
        <v>119</v>
      </c>
      <c r="C135" s="129">
        <v>28647</v>
      </c>
    </row>
    <row r="136" spans="1:3" x14ac:dyDescent="0.25">
      <c r="A136" s="129" t="s">
        <v>185</v>
      </c>
      <c r="B136" s="42" t="s">
        <v>118</v>
      </c>
      <c r="C136" s="129">
        <v>467700</v>
      </c>
    </row>
    <row r="137" spans="1:3" x14ac:dyDescent="0.25">
      <c r="A137" s="129" t="s">
        <v>186</v>
      </c>
      <c r="B137" s="42" t="s">
        <v>93</v>
      </c>
      <c r="C137" s="129">
        <v>342146.40784538002</v>
      </c>
    </row>
    <row r="138" spans="1:3" x14ac:dyDescent="0.25">
      <c r="A138" s="129" t="s">
        <v>186</v>
      </c>
      <c r="B138" s="99" t="s">
        <v>120</v>
      </c>
      <c r="C138" s="129">
        <v>788151</v>
      </c>
    </row>
    <row r="139" spans="1:3" x14ac:dyDescent="0.25">
      <c r="A139" s="129" t="s">
        <v>186</v>
      </c>
      <c r="B139" s="100" t="s">
        <v>121</v>
      </c>
      <c r="C139" s="129">
        <v>200348</v>
      </c>
    </row>
    <row r="140" spans="1:3" x14ac:dyDescent="0.25">
      <c r="A140" s="129" t="s">
        <v>186</v>
      </c>
      <c r="B140" s="100" t="s">
        <v>94</v>
      </c>
      <c r="C140" s="129">
        <v>317165.68107206991</v>
      </c>
    </row>
    <row r="141" spans="1:3" x14ac:dyDescent="0.25">
      <c r="A141" s="129" t="s">
        <v>186</v>
      </c>
      <c r="B141" s="100" t="s">
        <v>95</v>
      </c>
      <c r="C141" s="129">
        <v>287271.89160768816</v>
      </c>
    </row>
    <row r="142" spans="1:3" x14ac:dyDescent="0.25">
      <c r="A142" s="129" t="s">
        <v>186</v>
      </c>
      <c r="B142" s="101" t="s">
        <v>96</v>
      </c>
      <c r="C142" s="129">
        <v>84217</v>
      </c>
    </row>
    <row r="143" spans="1:3" x14ac:dyDescent="0.25">
      <c r="A143" s="129" t="s">
        <v>186</v>
      </c>
      <c r="B143" s="102" t="s">
        <v>122</v>
      </c>
      <c r="C143" s="129">
        <v>1531264.7238596901</v>
      </c>
    </row>
    <row r="144" spans="1:3" x14ac:dyDescent="0.25">
      <c r="A144" s="129" t="s">
        <v>186</v>
      </c>
      <c r="B144" s="100" t="s">
        <v>123</v>
      </c>
      <c r="C144" s="129">
        <v>1040869.8860705686</v>
      </c>
    </row>
    <row r="145" spans="1:3" x14ac:dyDescent="0.25">
      <c r="A145" s="129" t="s">
        <v>186</v>
      </c>
      <c r="B145" s="100" t="s">
        <v>124</v>
      </c>
      <c r="C145" s="129">
        <v>904425</v>
      </c>
    </row>
    <row r="146" spans="1:3" x14ac:dyDescent="0.25">
      <c r="A146" s="129" t="s">
        <v>186</v>
      </c>
      <c r="B146" s="100" t="s">
        <v>125</v>
      </c>
      <c r="C146" s="129">
        <v>0</v>
      </c>
    </row>
    <row r="147" spans="1:3" x14ac:dyDescent="0.25">
      <c r="A147" s="129" t="s">
        <v>186</v>
      </c>
      <c r="B147" s="100" t="s">
        <v>126</v>
      </c>
      <c r="C147" s="129">
        <v>477741</v>
      </c>
    </row>
    <row r="148" spans="1:3" x14ac:dyDescent="0.25">
      <c r="A148" s="129" t="s">
        <v>186</v>
      </c>
      <c r="B148" s="100" t="s">
        <v>127</v>
      </c>
      <c r="C148" s="129">
        <v>36814</v>
      </c>
    </row>
    <row r="149" spans="1:3" x14ac:dyDescent="0.25">
      <c r="A149" s="129" t="s">
        <v>186</v>
      </c>
      <c r="B149" s="100" t="s">
        <v>97</v>
      </c>
      <c r="C149" s="129">
        <v>210988.39006974112</v>
      </c>
    </row>
    <row r="150" spans="1:3" x14ac:dyDescent="0.25">
      <c r="A150" s="129" t="s">
        <v>186</v>
      </c>
      <c r="B150" s="100" t="s">
        <v>128</v>
      </c>
      <c r="C150" s="129">
        <v>31021</v>
      </c>
    </row>
    <row r="151" spans="1:3" x14ac:dyDescent="0.25">
      <c r="A151" s="129" t="s">
        <v>186</v>
      </c>
      <c r="B151" s="100" t="s">
        <v>129</v>
      </c>
      <c r="C151" s="129">
        <v>23123</v>
      </c>
    </row>
    <row r="152" spans="1:3" x14ac:dyDescent="0.25">
      <c r="A152" s="129" t="s">
        <v>186</v>
      </c>
      <c r="B152" s="100" t="s">
        <v>130</v>
      </c>
      <c r="C152" s="129">
        <v>28639</v>
      </c>
    </row>
    <row r="153" spans="1:3" x14ac:dyDescent="0.25">
      <c r="A153" s="129" t="s">
        <v>186</v>
      </c>
      <c r="B153" s="101" t="s">
        <v>98</v>
      </c>
      <c r="C153" s="129">
        <v>2759</v>
      </c>
    </row>
    <row r="154" spans="1:3" x14ac:dyDescent="0.25">
      <c r="A154" s="129" t="s">
        <v>186</v>
      </c>
      <c r="B154" s="102" t="s">
        <v>131</v>
      </c>
      <c r="C154" s="129">
        <v>4138969.0344418604</v>
      </c>
    </row>
    <row r="155" spans="1:3" x14ac:dyDescent="0.25">
      <c r="A155" s="129" t="s">
        <v>186</v>
      </c>
      <c r="B155" s="100" t="s">
        <v>132</v>
      </c>
      <c r="C155" s="129">
        <v>417104</v>
      </c>
    </row>
    <row r="156" spans="1:3" x14ac:dyDescent="0.25">
      <c r="A156" s="129" t="s">
        <v>186</v>
      </c>
      <c r="B156" s="100" t="s">
        <v>133</v>
      </c>
      <c r="C156" s="129">
        <v>0</v>
      </c>
    </row>
    <row r="157" spans="1:3" x14ac:dyDescent="0.25">
      <c r="A157" s="129" t="s">
        <v>186</v>
      </c>
      <c r="B157" s="100" t="s">
        <v>99</v>
      </c>
      <c r="C157" s="129">
        <v>0</v>
      </c>
    </row>
    <row r="158" spans="1:3" x14ac:dyDescent="0.25">
      <c r="A158" s="129" t="s">
        <v>186</v>
      </c>
      <c r="B158" s="100" t="s">
        <v>134</v>
      </c>
      <c r="C158" s="129">
        <v>20593.862021646986</v>
      </c>
    </row>
    <row r="159" spans="1:3" x14ac:dyDescent="0.25">
      <c r="A159" s="129" t="s">
        <v>186</v>
      </c>
      <c r="B159" s="100" t="s">
        <v>135</v>
      </c>
      <c r="C159" s="129">
        <v>234776.46191272995</v>
      </c>
    </row>
    <row r="160" spans="1:3" x14ac:dyDescent="0.25">
      <c r="A160" s="129" t="s">
        <v>186</v>
      </c>
      <c r="B160" s="100" t="s">
        <v>136</v>
      </c>
      <c r="C160" s="129">
        <v>173850.01517588354</v>
      </c>
    </row>
    <row r="161" spans="1:3" x14ac:dyDescent="0.25">
      <c r="A161" s="129" t="s">
        <v>186</v>
      </c>
      <c r="B161" s="100" t="s">
        <v>100</v>
      </c>
      <c r="C161" s="129">
        <v>160725.73005880081</v>
      </c>
    </row>
    <row r="162" spans="1:3" x14ac:dyDescent="0.25">
      <c r="A162" s="129" t="s">
        <v>186</v>
      </c>
      <c r="B162" s="100" t="s">
        <v>101</v>
      </c>
      <c r="C162" s="129">
        <v>10399.048327512326</v>
      </c>
    </row>
    <row r="163" spans="1:3" x14ac:dyDescent="0.25">
      <c r="A163" s="129" t="s">
        <v>186</v>
      </c>
      <c r="B163" s="100" t="s">
        <v>102</v>
      </c>
      <c r="C163" s="129">
        <v>11107.496140413059</v>
      </c>
    </row>
    <row r="164" spans="1:3" x14ac:dyDescent="0.25">
      <c r="A164" s="129" t="s">
        <v>186</v>
      </c>
      <c r="B164" s="101" t="s">
        <v>103</v>
      </c>
      <c r="C164" s="129">
        <v>156391.67915823052</v>
      </c>
    </row>
    <row r="165" spans="1:3" x14ac:dyDescent="0.25">
      <c r="A165" s="129" t="s">
        <v>186</v>
      </c>
      <c r="B165" s="102" t="s">
        <v>104</v>
      </c>
      <c r="C165" s="129">
        <v>120200</v>
      </c>
    </row>
    <row r="166" spans="1:3" x14ac:dyDescent="0.25">
      <c r="A166" s="129" t="s">
        <v>186</v>
      </c>
      <c r="B166" s="100" t="s">
        <v>137</v>
      </c>
      <c r="C166" s="129">
        <v>349239.37976094463</v>
      </c>
    </row>
    <row r="167" spans="1:3" x14ac:dyDescent="0.25">
      <c r="A167" s="129" t="s">
        <v>186</v>
      </c>
      <c r="B167" s="100" t="s">
        <v>138</v>
      </c>
      <c r="C167" s="129">
        <v>85392.582455630501</v>
      </c>
    </row>
    <row r="168" spans="1:3" x14ac:dyDescent="0.25">
      <c r="A168" s="129" t="s">
        <v>186</v>
      </c>
      <c r="B168" s="100" t="s">
        <v>139</v>
      </c>
      <c r="C168" s="129">
        <v>629247.70978151541</v>
      </c>
    </row>
    <row r="169" spans="1:3" x14ac:dyDescent="0.25">
      <c r="A169" s="129" t="s">
        <v>186</v>
      </c>
      <c r="B169" s="100" t="s">
        <v>140</v>
      </c>
      <c r="C169" s="129">
        <v>138654.762045854</v>
      </c>
    </row>
    <row r="170" spans="1:3" x14ac:dyDescent="0.25">
      <c r="A170" s="129" t="s">
        <v>186</v>
      </c>
      <c r="B170" s="101" t="s">
        <v>105</v>
      </c>
      <c r="C170" s="129">
        <v>18091</v>
      </c>
    </row>
    <row r="171" spans="1:3" x14ac:dyDescent="0.25">
      <c r="A171" s="129" t="s">
        <v>186</v>
      </c>
      <c r="B171" s="102" t="s">
        <v>141</v>
      </c>
      <c r="C171" s="129">
        <v>414662.83356562268</v>
      </c>
    </row>
    <row r="172" spans="1:3" x14ac:dyDescent="0.25">
      <c r="A172" s="129" t="s">
        <v>186</v>
      </c>
      <c r="B172" s="100" t="s">
        <v>142</v>
      </c>
      <c r="C172" s="129">
        <v>14379.606169463787</v>
      </c>
    </row>
    <row r="173" spans="1:3" x14ac:dyDescent="0.25">
      <c r="A173" s="129" t="s">
        <v>186</v>
      </c>
      <c r="B173" s="100" t="s">
        <v>143</v>
      </c>
      <c r="C173" s="129">
        <v>99216.452013493064</v>
      </c>
    </row>
    <row r="174" spans="1:3" x14ac:dyDescent="0.25">
      <c r="A174" s="129" t="s">
        <v>186</v>
      </c>
      <c r="B174" s="100" t="s">
        <v>144</v>
      </c>
      <c r="C174" s="129">
        <v>214227.05342731049</v>
      </c>
    </row>
    <row r="175" spans="1:3" x14ac:dyDescent="0.25">
      <c r="A175" s="129" t="s">
        <v>186</v>
      </c>
      <c r="B175" s="100" t="s">
        <v>145</v>
      </c>
      <c r="C175" s="129">
        <v>306802.42843461561</v>
      </c>
    </row>
    <row r="176" spans="1:3" x14ac:dyDescent="0.25">
      <c r="A176" s="129" t="s">
        <v>186</v>
      </c>
      <c r="B176" s="100" t="s">
        <v>146</v>
      </c>
      <c r="C176" s="129">
        <v>0</v>
      </c>
    </row>
    <row r="177" spans="1:3" x14ac:dyDescent="0.25">
      <c r="A177" s="129" t="s">
        <v>186</v>
      </c>
      <c r="B177" s="101" t="s">
        <v>144</v>
      </c>
      <c r="C177" s="129">
        <v>570.94699124104204</v>
      </c>
    </row>
    <row r="178" spans="1:3" x14ac:dyDescent="0.25">
      <c r="A178" s="129" t="s">
        <v>186</v>
      </c>
      <c r="B178" s="102" t="s">
        <v>147</v>
      </c>
      <c r="C178" s="129">
        <v>23775.199858346106</v>
      </c>
    </row>
    <row r="179" spans="1:3" x14ac:dyDescent="0.25">
      <c r="A179" s="129" t="s">
        <v>186</v>
      </c>
      <c r="B179" s="100" t="s">
        <v>148</v>
      </c>
      <c r="C179" s="129">
        <v>96602.711478516008</v>
      </c>
    </row>
    <row r="180" spans="1:3" x14ac:dyDescent="0.25">
      <c r="A180" s="129" t="s">
        <v>186</v>
      </c>
      <c r="B180" s="100" t="s">
        <v>106</v>
      </c>
      <c r="C180" s="129">
        <v>201139.36578233677</v>
      </c>
    </row>
    <row r="181" spans="1:3" x14ac:dyDescent="0.25">
      <c r="A181" s="129" t="s">
        <v>186</v>
      </c>
      <c r="B181" s="100" t="s">
        <v>107</v>
      </c>
      <c r="C181" s="129">
        <v>6472</v>
      </c>
    </row>
    <row r="182" spans="1:3" x14ac:dyDescent="0.25">
      <c r="A182" s="129" t="s">
        <v>186</v>
      </c>
      <c r="B182" s="101" t="s">
        <v>108</v>
      </c>
      <c r="C182" s="129">
        <v>4777.775496370672</v>
      </c>
    </row>
    <row r="183" spans="1:3" x14ac:dyDescent="0.25">
      <c r="A183" s="129" t="s">
        <v>186</v>
      </c>
      <c r="B183" s="102" t="s">
        <v>149</v>
      </c>
      <c r="C183" s="129">
        <v>10980.219317969815</v>
      </c>
    </row>
    <row r="184" spans="1:3" x14ac:dyDescent="0.25">
      <c r="A184" s="129" t="s">
        <v>186</v>
      </c>
      <c r="B184" s="100" t="s">
        <v>150</v>
      </c>
      <c r="C184" s="129">
        <v>-1233.2268393507654</v>
      </c>
    </row>
    <row r="185" spans="1:3" x14ac:dyDescent="0.25">
      <c r="A185" s="129" t="s">
        <v>186</v>
      </c>
      <c r="B185" s="100" t="s">
        <v>151</v>
      </c>
      <c r="C185" s="129">
        <v>2979.3996936461026</v>
      </c>
    </row>
    <row r="186" spans="1:3" x14ac:dyDescent="0.25">
      <c r="A186" s="129" t="s">
        <v>186</v>
      </c>
      <c r="B186" s="100" t="s">
        <v>152</v>
      </c>
      <c r="C186" s="129">
        <v>586.9920760386085</v>
      </c>
    </row>
    <row r="187" spans="1:3" x14ac:dyDescent="0.25">
      <c r="A187" s="129" t="s">
        <v>186</v>
      </c>
      <c r="B187" s="101" t="s">
        <v>109</v>
      </c>
      <c r="C187" s="129">
        <v>13540.642989699832</v>
      </c>
    </row>
    <row r="188" spans="1:3" x14ac:dyDescent="0.25">
      <c r="A188" s="129" t="s">
        <v>186</v>
      </c>
      <c r="B188" s="102" t="s">
        <v>110</v>
      </c>
      <c r="C188" s="129">
        <v>131994.67986982685</v>
      </c>
    </row>
    <row r="189" spans="1:3" x14ac:dyDescent="0.25">
      <c r="A189" s="129" t="s">
        <v>186</v>
      </c>
      <c r="B189" s="101" t="s">
        <v>111</v>
      </c>
      <c r="C189" s="129">
        <v>31371.909854494548</v>
      </c>
    </row>
    <row r="190" spans="1:3" x14ac:dyDescent="0.25">
      <c r="A190" s="129" t="s">
        <v>186</v>
      </c>
      <c r="B190" s="102" t="s">
        <v>112</v>
      </c>
      <c r="C190" s="129">
        <v>45033.389128364244</v>
      </c>
    </row>
    <row r="191" spans="1:3" x14ac:dyDescent="0.25">
      <c r="A191" s="129" t="s">
        <v>186</v>
      </c>
      <c r="B191" s="101" t="s">
        <v>113</v>
      </c>
      <c r="C191" s="129">
        <v>21346.90898960951</v>
      </c>
    </row>
    <row r="192" spans="1:3" x14ac:dyDescent="0.25">
      <c r="A192" s="129" t="s">
        <v>186</v>
      </c>
      <c r="B192" s="102" t="s">
        <v>153</v>
      </c>
      <c r="C192" s="129">
        <v>323448.12654047413</v>
      </c>
    </row>
    <row r="193" spans="1:3" x14ac:dyDescent="0.25">
      <c r="A193" s="129" t="s">
        <v>186</v>
      </c>
      <c r="B193" s="100" t="s">
        <v>154</v>
      </c>
      <c r="C193" s="129">
        <v>104020.75126423419</v>
      </c>
    </row>
    <row r="194" spans="1:3" x14ac:dyDescent="0.25">
      <c r="A194" s="129" t="s">
        <v>186</v>
      </c>
      <c r="B194" s="100" t="s">
        <v>155</v>
      </c>
      <c r="C194" s="129">
        <v>11739.207835867874</v>
      </c>
    </row>
    <row r="195" spans="1:3" x14ac:dyDescent="0.25">
      <c r="A195" s="129" t="s">
        <v>186</v>
      </c>
      <c r="B195" s="100" t="s">
        <v>156</v>
      </c>
      <c r="C195" s="129">
        <v>41596.057960097278</v>
      </c>
    </row>
    <row r="196" spans="1:3" x14ac:dyDescent="0.25">
      <c r="A196" s="129" t="s">
        <v>186</v>
      </c>
      <c r="B196" s="100" t="s">
        <v>157</v>
      </c>
      <c r="C196" s="129">
        <v>447695.7743882612</v>
      </c>
    </row>
    <row r="197" spans="1:3" x14ac:dyDescent="0.25">
      <c r="A197" s="129" t="s">
        <v>186</v>
      </c>
      <c r="B197" s="100" t="s">
        <v>158</v>
      </c>
      <c r="C197" s="129">
        <v>33034</v>
      </c>
    </row>
    <row r="198" spans="1:3" x14ac:dyDescent="0.25">
      <c r="A198" s="129" t="s">
        <v>186</v>
      </c>
      <c r="B198" s="101" t="s">
        <v>114</v>
      </c>
      <c r="C198" s="129">
        <v>14749</v>
      </c>
    </row>
    <row r="199" spans="1:3" x14ac:dyDescent="0.25">
      <c r="A199" s="129" t="s">
        <v>186</v>
      </c>
      <c r="B199" s="102" t="s">
        <v>115</v>
      </c>
      <c r="C199" s="129">
        <v>65885</v>
      </c>
    </row>
    <row r="200" spans="1:3" x14ac:dyDescent="0.25">
      <c r="A200" s="129" t="s">
        <v>186</v>
      </c>
      <c r="B200" s="100" t="s">
        <v>159</v>
      </c>
      <c r="C200" s="129">
        <v>63520.345353202138</v>
      </c>
    </row>
    <row r="201" spans="1:3" x14ac:dyDescent="0.25">
      <c r="A201" s="129" t="s">
        <v>186</v>
      </c>
      <c r="B201" s="101" t="s">
        <v>160</v>
      </c>
      <c r="C201" s="129">
        <v>114290.50720589161</v>
      </c>
    </row>
    <row r="202" spans="1:3" x14ac:dyDescent="0.25">
      <c r="A202" s="129" t="s">
        <v>186</v>
      </c>
      <c r="B202" s="102" t="s">
        <v>116</v>
      </c>
      <c r="C202" s="129">
        <v>253535</v>
      </c>
    </row>
    <row r="203" spans="1:3" x14ac:dyDescent="0.25">
      <c r="A203" s="129" t="s">
        <v>186</v>
      </c>
      <c r="B203" s="100" t="s">
        <v>161</v>
      </c>
      <c r="C203" s="129">
        <v>208786</v>
      </c>
    </row>
    <row r="204" spans="1:3" x14ac:dyDescent="0.25">
      <c r="A204" s="129" t="s">
        <v>186</v>
      </c>
      <c r="B204" s="100" t="s">
        <v>117</v>
      </c>
      <c r="C204" s="129">
        <v>4377</v>
      </c>
    </row>
    <row r="205" spans="1:3" x14ac:dyDescent="0.25">
      <c r="A205" s="129" t="s">
        <v>186</v>
      </c>
      <c r="B205" s="42" t="s">
        <v>119</v>
      </c>
      <c r="C205" s="129">
        <v>2915.9993481970178</v>
      </c>
    </row>
    <row r="206" spans="1:3" x14ac:dyDescent="0.25">
      <c r="A206" s="129" t="s">
        <v>186</v>
      </c>
      <c r="B206" s="42" t="s">
        <v>118</v>
      </c>
      <c r="C206" s="129">
        <v>437500</v>
      </c>
    </row>
    <row r="207" spans="1:3" x14ac:dyDescent="0.25">
      <c r="A207" s="129" t="s">
        <v>187</v>
      </c>
      <c r="B207" s="42" t="s">
        <v>93</v>
      </c>
      <c r="C207" s="129">
        <v>326504</v>
      </c>
    </row>
    <row r="208" spans="1:3" x14ac:dyDescent="0.25">
      <c r="A208" s="129" t="s">
        <v>187</v>
      </c>
      <c r="B208" s="99" t="s">
        <v>120</v>
      </c>
      <c r="C208" s="129">
        <v>797177</v>
      </c>
    </row>
    <row r="209" spans="1:3" x14ac:dyDescent="0.25">
      <c r="A209" s="129" t="s">
        <v>187</v>
      </c>
      <c r="B209" s="100" t="s">
        <v>121</v>
      </c>
      <c r="C209" s="129">
        <v>226062</v>
      </c>
    </row>
    <row r="210" spans="1:3" x14ac:dyDescent="0.25">
      <c r="A210" s="129" t="s">
        <v>187</v>
      </c>
      <c r="B210" s="100" t="s">
        <v>94</v>
      </c>
      <c r="C210" s="129">
        <v>328349</v>
      </c>
    </row>
    <row r="211" spans="1:3" x14ac:dyDescent="0.25">
      <c r="A211" s="129" t="s">
        <v>187</v>
      </c>
      <c r="B211" s="100" t="s">
        <v>95</v>
      </c>
      <c r="C211" s="129">
        <v>323823</v>
      </c>
    </row>
    <row r="212" spans="1:3" x14ac:dyDescent="0.25">
      <c r="A212" s="129" t="s">
        <v>187</v>
      </c>
      <c r="B212" s="101" t="s">
        <v>96</v>
      </c>
      <c r="C212" s="129">
        <v>78877</v>
      </c>
    </row>
    <row r="213" spans="1:3" x14ac:dyDescent="0.25">
      <c r="A213" s="129" t="s">
        <v>187</v>
      </c>
      <c r="B213" s="102" t="s">
        <v>122</v>
      </c>
      <c r="C213" s="129">
        <v>1568076</v>
      </c>
    </row>
    <row r="214" spans="1:3" x14ac:dyDescent="0.25">
      <c r="A214" s="129" t="s">
        <v>187</v>
      </c>
      <c r="B214" s="100" t="s">
        <v>123</v>
      </c>
      <c r="C214" s="129">
        <v>1008528</v>
      </c>
    </row>
    <row r="215" spans="1:3" x14ac:dyDescent="0.25">
      <c r="A215" s="129" t="s">
        <v>187</v>
      </c>
      <c r="B215" s="100" t="s">
        <v>124</v>
      </c>
      <c r="C215" s="129">
        <v>996825</v>
      </c>
    </row>
    <row r="216" spans="1:3" x14ac:dyDescent="0.25">
      <c r="A216" s="129" t="s">
        <v>187</v>
      </c>
      <c r="B216" s="100" t="s">
        <v>125</v>
      </c>
      <c r="C216" s="129">
        <v>0</v>
      </c>
    </row>
    <row r="217" spans="1:3" x14ac:dyDescent="0.25">
      <c r="A217" s="129" t="s">
        <v>187</v>
      </c>
      <c r="B217" s="100" t="s">
        <v>126</v>
      </c>
      <c r="C217" s="129">
        <v>485746</v>
      </c>
    </row>
    <row r="218" spans="1:3" x14ac:dyDescent="0.25">
      <c r="A218" s="129" t="s">
        <v>187</v>
      </c>
      <c r="B218" s="100" t="s">
        <v>127</v>
      </c>
      <c r="C218" s="129">
        <v>30289</v>
      </c>
    </row>
    <row r="219" spans="1:3" x14ac:dyDescent="0.25">
      <c r="A219" s="129" t="s">
        <v>187</v>
      </c>
      <c r="B219" s="100" t="s">
        <v>97</v>
      </c>
      <c r="C219" s="129">
        <v>200375</v>
      </c>
    </row>
    <row r="220" spans="1:3" x14ac:dyDescent="0.25">
      <c r="A220" s="129" t="s">
        <v>187</v>
      </c>
      <c r="B220" s="100" t="s">
        <v>128</v>
      </c>
      <c r="C220" s="129">
        <v>31</v>
      </c>
    </row>
    <row r="221" spans="1:3" x14ac:dyDescent="0.25">
      <c r="A221" s="129" t="s">
        <v>187</v>
      </c>
      <c r="B221" s="100" t="s">
        <v>129</v>
      </c>
      <c r="C221" s="129">
        <v>4758</v>
      </c>
    </row>
    <row r="222" spans="1:3" x14ac:dyDescent="0.25">
      <c r="A222" s="129" t="s">
        <v>187</v>
      </c>
      <c r="B222" s="100" t="s">
        <v>130</v>
      </c>
      <c r="C222" s="129">
        <v>54690</v>
      </c>
    </row>
    <row r="223" spans="1:3" x14ac:dyDescent="0.25">
      <c r="A223" s="129" t="s">
        <v>187</v>
      </c>
      <c r="B223" s="101" t="s">
        <v>98</v>
      </c>
      <c r="C223" s="129">
        <v>3351</v>
      </c>
    </row>
    <row r="224" spans="1:3" x14ac:dyDescent="0.25">
      <c r="A224" s="129" t="s">
        <v>187</v>
      </c>
      <c r="B224" s="102" t="s">
        <v>131</v>
      </c>
      <c r="C224" s="129">
        <v>4343640</v>
      </c>
    </row>
    <row r="225" spans="1:3" x14ac:dyDescent="0.25">
      <c r="A225" s="129" t="s">
        <v>187</v>
      </c>
      <c r="B225" s="100" t="s">
        <v>132</v>
      </c>
      <c r="C225" s="129">
        <v>414619</v>
      </c>
    </row>
    <row r="226" spans="1:3" x14ac:dyDescent="0.25">
      <c r="A226" s="129" t="s">
        <v>187</v>
      </c>
      <c r="B226" s="100" t="s">
        <v>133</v>
      </c>
      <c r="C226" s="129">
        <v>0</v>
      </c>
    </row>
    <row r="227" spans="1:3" x14ac:dyDescent="0.25">
      <c r="A227" s="129" t="s">
        <v>187</v>
      </c>
      <c r="B227" s="100" t="s">
        <v>99</v>
      </c>
      <c r="C227" s="129">
        <v>0</v>
      </c>
    </row>
    <row r="228" spans="1:3" x14ac:dyDescent="0.25">
      <c r="A228" s="129" t="s">
        <v>187</v>
      </c>
      <c r="B228" s="100" t="s">
        <v>134</v>
      </c>
      <c r="C228" s="129">
        <v>50032</v>
      </c>
    </row>
    <row r="229" spans="1:3" x14ac:dyDescent="0.25">
      <c r="A229" s="129" t="s">
        <v>187</v>
      </c>
      <c r="B229" s="100" t="s">
        <v>135</v>
      </c>
      <c r="C229" s="129">
        <v>237061.00648269444</v>
      </c>
    </row>
    <row r="230" spans="1:3" x14ac:dyDescent="0.25">
      <c r="A230" s="129" t="s">
        <v>187</v>
      </c>
      <c r="B230" s="100" t="s">
        <v>136</v>
      </c>
      <c r="C230" s="129">
        <v>173553.6</v>
      </c>
    </row>
    <row r="231" spans="1:3" x14ac:dyDescent="0.25">
      <c r="A231" s="129" t="s">
        <v>187</v>
      </c>
      <c r="B231" s="100" t="s">
        <v>100</v>
      </c>
      <c r="C231" s="129">
        <v>126832.8</v>
      </c>
    </row>
    <row r="232" spans="1:3" x14ac:dyDescent="0.25">
      <c r="A232" s="129" t="s">
        <v>187</v>
      </c>
      <c r="B232" s="100" t="s">
        <v>101</v>
      </c>
      <c r="C232" s="129">
        <v>16212.2</v>
      </c>
    </row>
    <row r="233" spans="1:3" x14ac:dyDescent="0.25">
      <c r="A233" s="129" t="s">
        <v>187</v>
      </c>
      <c r="B233" s="100" t="s">
        <v>102</v>
      </c>
      <c r="C233" s="129">
        <v>12513.2</v>
      </c>
    </row>
    <row r="234" spans="1:3" x14ac:dyDescent="0.25">
      <c r="A234" s="129" t="s">
        <v>187</v>
      </c>
      <c r="B234" s="101" t="s">
        <v>103</v>
      </c>
      <c r="C234" s="129">
        <v>154928.24996468288</v>
      </c>
    </row>
    <row r="235" spans="1:3" x14ac:dyDescent="0.25">
      <c r="A235" s="129" t="s">
        <v>187</v>
      </c>
      <c r="B235" s="102" t="s">
        <v>104</v>
      </c>
      <c r="C235" s="129">
        <v>123162</v>
      </c>
    </row>
    <row r="236" spans="1:3" x14ac:dyDescent="0.25">
      <c r="A236" s="129" t="s">
        <v>187</v>
      </c>
      <c r="B236" s="100" t="s">
        <v>137</v>
      </c>
      <c r="C236" s="129">
        <v>434859</v>
      </c>
    </row>
    <row r="237" spans="1:3" x14ac:dyDescent="0.25">
      <c r="A237" s="129" t="s">
        <v>187</v>
      </c>
      <c r="B237" s="100" t="s">
        <v>138</v>
      </c>
      <c r="C237" s="129">
        <v>99080</v>
      </c>
    </row>
    <row r="238" spans="1:3" x14ac:dyDescent="0.25">
      <c r="A238" s="129" t="s">
        <v>187</v>
      </c>
      <c r="B238" s="100" t="s">
        <v>139</v>
      </c>
      <c r="C238" s="129">
        <v>690187</v>
      </c>
    </row>
    <row r="239" spans="1:3" x14ac:dyDescent="0.25">
      <c r="A239" s="129" t="s">
        <v>187</v>
      </c>
      <c r="B239" s="100" t="s">
        <v>140</v>
      </c>
      <c r="C239" s="129">
        <v>134202</v>
      </c>
    </row>
    <row r="240" spans="1:3" x14ac:dyDescent="0.25">
      <c r="A240" s="129" t="s">
        <v>187</v>
      </c>
      <c r="B240" s="101" t="s">
        <v>105</v>
      </c>
      <c r="C240" s="129">
        <v>19563</v>
      </c>
    </row>
    <row r="241" spans="1:3" x14ac:dyDescent="0.25">
      <c r="A241" s="129" t="s">
        <v>187</v>
      </c>
      <c r="B241" s="102" t="s">
        <v>141</v>
      </c>
      <c r="C241" s="129">
        <v>348774</v>
      </c>
    </row>
    <row r="242" spans="1:3" x14ac:dyDescent="0.25">
      <c r="A242" s="129" t="s">
        <v>187</v>
      </c>
      <c r="B242" s="100" t="s">
        <v>142</v>
      </c>
      <c r="C242" s="129">
        <v>9684</v>
      </c>
    </row>
    <row r="243" spans="1:3" x14ac:dyDescent="0.25">
      <c r="A243" s="129" t="s">
        <v>187</v>
      </c>
      <c r="B243" s="100" t="s">
        <v>143</v>
      </c>
      <c r="C243" s="129">
        <v>97634</v>
      </c>
    </row>
    <row r="244" spans="1:3" x14ac:dyDescent="0.25">
      <c r="A244" s="129" t="s">
        <v>187</v>
      </c>
      <c r="B244" s="100" t="s">
        <v>144</v>
      </c>
      <c r="C244" s="129">
        <v>160879</v>
      </c>
    </row>
    <row r="245" spans="1:3" x14ac:dyDescent="0.25">
      <c r="A245" s="129" t="s">
        <v>187</v>
      </c>
      <c r="B245" s="100" t="s">
        <v>145</v>
      </c>
      <c r="C245" s="129">
        <v>337126</v>
      </c>
    </row>
    <row r="246" spans="1:3" x14ac:dyDescent="0.25">
      <c r="A246" s="129" t="s">
        <v>187</v>
      </c>
      <c r="B246" s="100" t="s">
        <v>146</v>
      </c>
      <c r="C246" s="129">
        <v>0</v>
      </c>
    </row>
    <row r="247" spans="1:3" x14ac:dyDescent="0.25">
      <c r="A247" s="129" t="s">
        <v>187</v>
      </c>
      <c r="B247" s="101" t="s">
        <v>144</v>
      </c>
      <c r="C247" s="129">
        <v>1</v>
      </c>
    </row>
    <row r="248" spans="1:3" x14ac:dyDescent="0.25">
      <c r="A248" s="129" t="s">
        <v>187</v>
      </c>
      <c r="B248" s="102" t="s">
        <v>147</v>
      </c>
      <c r="C248" s="129">
        <v>68185</v>
      </c>
    </row>
    <row r="249" spans="1:3" x14ac:dyDescent="0.25">
      <c r="A249" s="129" t="s">
        <v>187</v>
      </c>
      <c r="B249" s="100" t="s">
        <v>148</v>
      </c>
      <c r="C249" s="129">
        <v>108412</v>
      </c>
    </row>
    <row r="250" spans="1:3" x14ac:dyDescent="0.25">
      <c r="A250" s="129" t="s">
        <v>187</v>
      </c>
      <c r="B250" s="100" t="s">
        <v>106</v>
      </c>
      <c r="C250" s="129">
        <v>205210</v>
      </c>
    </row>
    <row r="251" spans="1:3" x14ac:dyDescent="0.25">
      <c r="A251" s="129" t="s">
        <v>187</v>
      </c>
      <c r="B251" s="100" t="s">
        <v>107</v>
      </c>
      <c r="C251" s="129">
        <v>7227</v>
      </c>
    </row>
    <row r="252" spans="1:3" x14ac:dyDescent="0.25">
      <c r="A252" s="129" t="s">
        <v>187</v>
      </c>
      <c r="B252" s="101" t="s">
        <v>108</v>
      </c>
      <c r="C252" s="129">
        <v>10206</v>
      </c>
    </row>
    <row r="253" spans="1:3" x14ac:dyDescent="0.25">
      <c r="A253" s="129" t="s">
        <v>187</v>
      </c>
      <c r="B253" s="102" t="s">
        <v>149</v>
      </c>
      <c r="C253" s="129">
        <v>15338</v>
      </c>
    </row>
    <row r="254" spans="1:3" x14ac:dyDescent="0.25">
      <c r="A254" s="129" t="s">
        <v>187</v>
      </c>
      <c r="B254" s="100" t="s">
        <v>150</v>
      </c>
      <c r="C254" s="129">
        <v>0</v>
      </c>
    </row>
    <row r="255" spans="1:3" x14ac:dyDescent="0.25">
      <c r="A255" s="129" t="s">
        <v>187</v>
      </c>
      <c r="B255" s="100" t="s">
        <v>151</v>
      </c>
      <c r="C255" s="129">
        <v>2774</v>
      </c>
    </row>
    <row r="256" spans="1:3" x14ac:dyDescent="0.25">
      <c r="A256" s="129" t="s">
        <v>187</v>
      </c>
      <c r="B256" s="100" t="s">
        <v>152</v>
      </c>
      <c r="C256" s="129">
        <v>540</v>
      </c>
    </row>
    <row r="257" spans="1:3" x14ac:dyDescent="0.25">
      <c r="A257" s="129" t="s">
        <v>187</v>
      </c>
      <c r="B257" s="101" t="s">
        <v>109</v>
      </c>
      <c r="C257" s="129">
        <v>13454</v>
      </c>
    </row>
    <row r="258" spans="1:3" x14ac:dyDescent="0.25">
      <c r="A258" s="129" t="s">
        <v>187</v>
      </c>
      <c r="B258" s="102" t="s">
        <v>110</v>
      </c>
      <c r="C258" s="129">
        <v>141795</v>
      </c>
    </row>
    <row r="259" spans="1:3" x14ac:dyDescent="0.25">
      <c r="A259" s="129" t="s">
        <v>187</v>
      </c>
      <c r="B259" s="101" t="s">
        <v>111</v>
      </c>
      <c r="C259" s="129">
        <v>27456</v>
      </c>
    </row>
    <row r="260" spans="1:3" x14ac:dyDescent="0.25">
      <c r="A260" s="129" t="s">
        <v>187</v>
      </c>
      <c r="B260" s="102" t="s">
        <v>112</v>
      </c>
      <c r="C260" s="129">
        <v>41432</v>
      </c>
    </row>
    <row r="261" spans="1:3" x14ac:dyDescent="0.25">
      <c r="A261" s="129" t="s">
        <v>187</v>
      </c>
      <c r="B261" s="101" t="s">
        <v>113</v>
      </c>
      <c r="C261" s="129">
        <v>11448</v>
      </c>
    </row>
    <row r="262" spans="1:3" x14ac:dyDescent="0.25">
      <c r="A262" s="129" t="s">
        <v>187</v>
      </c>
      <c r="B262" s="102" t="s">
        <v>153</v>
      </c>
      <c r="C262" s="129">
        <v>347207.32318591117</v>
      </c>
    </row>
    <row r="263" spans="1:3" x14ac:dyDescent="0.25">
      <c r="A263" s="129" t="s">
        <v>187</v>
      </c>
      <c r="B263" s="100" t="s">
        <v>154</v>
      </c>
      <c r="C263" s="129">
        <v>85325.080805096906</v>
      </c>
    </row>
    <row r="264" spans="1:3" x14ac:dyDescent="0.25">
      <c r="A264" s="129" t="s">
        <v>187</v>
      </c>
      <c r="B264" s="100" t="s">
        <v>155</v>
      </c>
      <c r="C264" s="129">
        <v>18608</v>
      </c>
    </row>
    <row r="265" spans="1:3" x14ac:dyDescent="0.25">
      <c r="A265" s="129" t="s">
        <v>187</v>
      </c>
      <c r="B265" s="100" t="s">
        <v>156</v>
      </c>
      <c r="C265" s="129">
        <v>45042.287554282346</v>
      </c>
    </row>
    <row r="266" spans="1:3" x14ac:dyDescent="0.25">
      <c r="A266" s="129" t="s">
        <v>187</v>
      </c>
      <c r="B266" s="100" t="s">
        <v>180</v>
      </c>
      <c r="C266" s="129">
        <v>5972.043508402573</v>
      </c>
    </row>
    <row r="267" spans="1:3" x14ac:dyDescent="0.25">
      <c r="A267" s="129" t="s">
        <v>187</v>
      </c>
      <c r="B267" s="100" t="s">
        <v>157</v>
      </c>
      <c r="C267" s="129">
        <v>483335.90214136412</v>
      </c>
    </row>
    <row r="268" spans="1:3" x14ac:dyDescent="0.25">
      <c r="A268" s="129" t="s">
        <v>187</v>
      </c>
      <c r="B268" s="100" t="s">
        <v>158</v>
      </c>
      <c r="C268" s="129">
        <v>35616.362804942786</v>
      </c>
    </row>
    <row r="269" spans="1:3" x14ac:dyDescent="0.25">
      <c r="A269" s="129" t="s">
        <v>187</v>
      </c>
      <c r="B269" s="101" t="s">
        <v>114</v>
      </c>
      <c r="C269" s="129">
        <v>11637</v>
      </c>
    </row>
    <row r="270" spans="1:3" x14ac:dyDescent="0.25">
      <c r="A270" s="129" t="s">
        <v>187</v>
      </c>
      <c r="B270" s="102" t="s">
        <v>115</v>
      </c>
      <c r="C270" s="129">
        <v>109760</v>
      </c>
    </row>
    <row r="271" spans="1:3" x14ac:dyDescent="0.25">
      <c r="A271" s="129" t="s">
        <v>187</v>
      </c>
      <c r="B271" s="100" t="s">
        <v>159</v>
      </c>
      <c r="C271" s="129">
        <v>59564</v>
      </c>
    </row>
    <row r="272" spans="1:3" x14ac:dyDescent="0.25">
      <c r="A272" s="129" t="s">
        <v>187</v>
      </c>
      <c r="B272" s="101" t="s">
        <v>160</v>
      </c>
      <c r="C272" s="129">
        <v>110858</v>
      </c>
    </row>
    <row r="273" spans="1:3" x14ac:dyDescent="0.25">
      <c r="A273" s="129" t="s">
        <v>187</v>
      </c>
      <c r="B273" s="102" t="s">
        <v>116</v>
      </c>
      <c r="C273" s="129">
        <v>209832</v>
      </c>
    </row>
    <row r="274" spans="1:3" x14ac:dyDescent="0.25">
      <c r="A274" s="129" t="s">
        <v>187</v>
      </c>
      <c r="B274" s="100" t="s">
        <v>161</v>
      </c>
      <c r="C274" s="129">
        <v>64158</v>
      </c>
    </row>
    <row r="275" spans="1:3" x14ac:dyDescent="0.25">
      <c r="A275" s="129" t="s">
        <v>187</v>
      </c>
      <c r="B275" s="100" t="s">
        <v>117</v>
      </c>
      <c r="C275" s="129">
        <v>2593</v>
      </c>
    </row>
    <row r="276" spans="1:3" x14ac:dyDescent="0.25">
      <c r="A276" s="129" t="s">
        <v>187</v>
      </c>
      <c r="B276" s="42" t="s">
        <v>119</v>
      </c>
      <c r="C276" s="129">
        <v>0</v>
      </c>
    </row>
    <row r="277" spans="1:3" x14ac:dyDescent="0.25">
      <c r="A277" s="129" t="s">
        <v>187</v>
      </c>
      <c r="B277" s="42" t="s">
        <v>118</v>
      </c>
      <c r="C277" s="129">
        <v>401500</v>
      </c>
    </row>
  </sheetData>
  <phoneticPr fontId="7" type="noConversion"/>
  <conditionalFormatting sqref="B207:B277">
    <cfRule type="cellIs" dxfId="0" priority="1" operator="lessThan">
      <formula>-20000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D556-487E-493A-8C35-F78E86F632E8}">
  <dimension ref="A1"/>
  <sheetViews>
    <sheetView showGridLines="0" tabSelected="1" zoomScale="50" zoomScaleNormal="50" workbookViewId="0">
      <selection activeCell="P28" sqref="P28"/>
    </sheetView>
  </sheetViews>
  <sheetFormatPr defaultRowHeight="12.5" x14ac:dyDescent="0.25"/>
  <cols>
    <col min="16" max="16" width="20.1796875" customWidth="1"/>
    <col min="17" max="17" width="17.1796875" bestFit="1" customWidth="1"/>
    <col min="18" max="18" width="25.0898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2015-16</vt:lpstr>
      <vt:lpstr>2014-15</vt:lpstr>
      <vt:lpstr>2013-14</vt:lpstr>
      <vt:lpstr>2012-13</vt:lpstr>
      <vt:lpstr>COMBINED_DATA</vt:lpstr>
      <vt:lpstr>DASHBOARD</vt:lpstr>
      <vt:lpstr>'2014-15'!Print_Titles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2016-07-27T07:14:47Z</dcterms:created>
  <dcterms:modified xsi:type="dcterms:W3CDTF">2026-03-26T01:38:57Z</dcterms:modified>
</cp:coreProperties>
</file>